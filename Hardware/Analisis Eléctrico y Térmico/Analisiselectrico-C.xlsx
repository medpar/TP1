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2074c9dfb58844c/Documentos/UNIVERSIDAD/MASTER/1/TPI/SE/TP1-G1/Hardware/Analisis Eléctrico y Térmico/"/>
    </mc:Choice>
  </mc:AlternateContent>
  <xr:revisionPtr revIDLastSave="162" documentId="11_BF010325F10992A21E5D2AAF911A502F96B28E63" xr6:coauthVersionLast="47" xr6:coauthVersionMax="47" xr10:uidLastSave="{24B9D9C8-5466-4B1D-9449-86D2C61CD9F1}"/>
  <bookViews>
    <workbookView xWindow="-120" yWindow="-120" windowWidth="20730" windowHeight="11760" xr2:uid="{00000000-000D-0000-FFFF-FFFF00000000}"/>
  </bookViews>
  <sheets>
    <sheet name="PCB0.Alim_Prog_USB" sheetId="1" r:id="rId1"/>
    <sheet name="PCB1.FPGA" sheetId="2" r:id="rId2"/>
    <sheet name="PCB2.Sensores" sheetId="3" r:id="rId3"/>
    <sheet name="PCB3.Antena en PC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5" i="1"/>
  <c r="D16" i="1"/>
  <c r="D20" i="3"/>
  <c r="D19" i="3"/>
  <c r="D18" i="3"/>
  <c r="E9" i="1"/>
  <c r="E5" i="1"/>
  <c r="E6" i="1"/>
  <c r="E7" i="1"/>
  <c r="E8" i="1"/>
  <c r="E4" i="1"/>
  <c r="E4" i="3"/>
  <c r="E5" i="3"/>
  <c r="E6" i="3"/>
  <c r="E7" i="3"/>
  <c r="E8" i="3"/>
  <c r="E9" i="3"/>
  <c r="E10" i="3"/>
  <c r="E11" i="3"/>
  <c r="E12" i="3"/>
  <c r="E13" i="3"/>
  <c r="E14" i="3"/>
  <c r="E15" i="3"/>
  <c r="E8" i="4"/>
  <c r="E6" i="4"/>
  <c r="C21" i="2"/>
  <c r="E15" i="2"/>
  <c r="E16" i="2"/>
  <c r="D15" i="2"/>
  <c r="D4" i="2"/>
  <c r="D5" i="2"/>
  <c r="D6" i="2"/>
  <c r="D7" i="2"/>
  <c r="D8" i="2"/>
  <c r="D14" i="2"/>
  <c r="D11" i="2"/>
  <c r="E11" i="2" s="1"/>
  <c r="D10" i="2"/>
  <c r="C20" i="2"/>
  <c r="E4" i="2"/>
  <c r="E5" i="2"/>
  <c r="E6" i="2"/>
  <c r="E7" i="2"/>
  <c r="E8" i="2"/>
  <c r="E9" i="2"/>
  <c r="E10" i="2"/>
  <c r="D4" i="4"/>
  <c r="E4" i="4" s="1"/>
  <c r="E7" i="4" s="1"/>
  <c r="E14" i="2"/>
  <c r="E13" i="2"/>
  <c r="E12" i="2"/>
  <c r="D22" i="3" l="1"/>
  <c r="D23" i="3" s="1"/>
  <c r="D19" i="1"/>
  <c r="D20" i="1" s="1"/>
  <c r="C19" i="2"/>
  <c r="C23" i="2" s="1"/>
  <c r="C24" i="2" s="1"/>
</calcChain>
</file>

<file path=xl/sharedStrings.xml><?xml version="1.0" encoding="utf-8"?>
<sst xmlns="http://schemas.openxmlformats.org/spreadsheetml/2006/main" count="133" uniqueCount="62">
  <si>
    <t>TOTAL</t>
  </si>
  <si>
    <t>Power Calculations</t>
  </si>
  <si>
    <t>Components</t>
  </si>
  <si>
    <t>Conditions</t>
  </si>
  <si>
    <t>Voltage (V)</t>
  </si>
  <si>
    <t>Power (W)</t>
  </si>
  <si>
    <t>Currents (A)</t>
  </si>
  <si>
    <t>Thermal Analysis</t>
  </si>
  <si>
    <t>Power</t>
  </si>
  <si>
    <t>Max Power</t>
  </si>
  <si>
    <t>Theta_jar</t>
  </si>
  <si>
    <t>Temperature (Cº)</t>
  </si>
  <si>
    <t>MCP73831T-2QACI/OT</t>
  </si>
  <si>
    <t>MCP1725-ADJ E/SN</t>
  </si>
  <si>
    <t>CY765213-28PVXI</t>
  </si>
  <si>
    <t>LPC1112FD20/102</t>
  </si>
  <si>
    <t>LIPO BAT</t>
  </si>
  <si>
    <t>Currents (µA)</t>
  </si>
  <si>
    <t xml:space="preserve">Charging </t>
  </si>
  <si>
    <r>
      <t>I</t>
    </r>
    <r>
      <rPr>
        <sz val="8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 0 mA, V</t>
    </r>
    <r>
      <rPr>
        <sz val="8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  <scheme val="minor"/>
      </rPr>
      <t xml:space="preserve"> =</t>
    </r>
    <r>
      <rPr>
        <b/>
        <sz val="11"/>
        <color theme="1"/>
        <rFont val="Calibri"/>
        <family val="2"/>
        <scheme val="minor"/>
      </rPr>
      <t xml:space="preserve"> Note 1  </t>
    </r>
    <r>
      <rPr>
        <sz val="11"/>
        <color theme="1"/>
        <rFont val="Calibri"/>
        <family val="2"/>
        <scheme val="minor"/>
      </rPr>
      <t xml:space="preserve">           V</t>
    </r>
    <r>
      <rPr>
        <sz val="8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= 0.8V to 5.0V </t>
    </r>
  </si>
  <si>
    <t>Does not include current through the pull-up resistor on USBDP In USB suspend mode, the D+ voltage can go up to a maximum of 3.8 V.</t>
  </si>
  <si>
    <r>
      <rPr>
        <b/>
        <sz val="11"/>
        <color rgb="FFFF0000"/>
        <rFont val="Calibri"/>
        <family val="2"/>
        <scheme val="minor"/>
      </rPr>
      <t>Note 1:</t>
    </r>
    <r>
      <rPr>
        <sz val="11"/>
        <color rgb="FFFF0000"/>
        <rFont val="Calibri"/>
        <family val="2"/>
        <scheme val="minor"/>
      </rPr>
      <t xml:space="preserve"> VIN ≥ 2.3V,  VIN ≥ VOUT(MAX) + VDROPOUT(MAX), VIN ≥ 2.3V,  VIN ≥ VOUT(MAX) + VDROPOUT(MAX)    </t>
    </r>
    <r>
      <rPr>
        <sz val="11"/>
        <color theme="1"/>
        <rFont val="Calibri"/>
        <family val="2"/>
        <scheme val="minor"/>
      </rPr>
      <t xml:space="preserve">   </t>
    </r>
  </si>
  <si>
    <r>
      <t>USB 2.0 FS, UART at 1-Mbps single channel, no GPIO switching at V</t>
    </r>
    <r>
      <rPr>
        <sz val="8"/>
        <color theme="1"/>
        <rFont val="Calibri"/>
        <family val="2"/>
        <scheme val="minor"/>
      </rPr>
      <t xml:space="preserve">CC </t>
    </r>
    <r>
      <rPr>
        <sz val="11"/>
        <color theme="1"/>
        <rFont val="Calibri"/>
        <family val="2"/>
        <scheme val="minor"/>
      </rPr>
      <t>= 5 V, V</t>
    </r>
    <r>
      <rPr>
        <sz val="8"/>
        <color theme="1"/>
        <rFont val="Calibri"/>
        <family val="2"/>
        <scheme val="minor"/>
      </rPr>
      <t>CCIO</t>
    </r>
    <r>
      <rPr>
        <sz val="11"/>
        <color theme="1"/>
        <rFont val="Calibri"/>
        <family val="2"/>
        <scheme val="minor"/>
      </rPr>
      <t xml:space="preserve"> = 5 V</t>
    </r>
  </si>
  <si>
    <t>TEL0132 </t>
  </si>
  <si>
    <t>BME680 </t>
  </si>
  <si>
    <t>MS860702BA01-50</t>
  </si>
  <si>
    <t>GP2Y1010AU0F</t>
  </si>
  <si>
    <t>SEN0134 </t>
  </si>
  <si>
    <t>MCP3004-I/SL </t>
  </si>
  <si>
    <t>XC9141B50DMR-G </t>
  </si>
  <si>
    <t>LQH5BPN4R7NT0L </t>
  </si>
  <si>
    <t>Currents (mA)</t>
  </si>
  <si>
    <t xml:space="preserve">Per supply pin </t>
  </si>
  <si>
    <r>
      <t>V</t>
    </r>
    <r>
      <rPr>
        <sz val="8"/>
        <color theme="1"/>
        <rFont val="Calibri"/>
        <family val="2"/>
        <scheme val="minor"/>
      </rPr>
      <t>DD</t>
    </r>
    <r>
      <rPr>
        <sz val="11"/>
        <color theme="1"/>
        <rFont val="Calibri"/>
        <family val="2"/>
        <scheme val="minor"/>
      </rPr>
      <t xml:space="preserve"> = V</t>
    </r>
    <r>
      <rPr>
        <sz val="8"/>
        <color theme="1"/>
        <rFont val="Calibri"/>
        <family val="2"/>
        <scheme val="minor"/>
      </rPr>
      <t>REF</t>
    </r>
    <r>
      <rPr>
        <sz val="11"/>
        <color theme="1"/>
        <rFont val="Calibri"/>
        <family val="2"/>
        <scheme val="minor"/>
      </rPr>
      <t xml:space="preserve"> = 5V, 
D</t>
    </r>
    <r>
      <rPr>
        <sz val="8"/>
        <color theme="1"/>
        <rFont val="Calibri"/>
        <family val="2"/>
        <scheme val="minor"/>
      </rPr>
      <t>OUT</t>
    </r>
    <r>
      <rPr>
        <sz val="11"/>
        <color theme="1"/>
        <rFont val="Calibri"/>
        <family val="2"/>
        <scheme val="minor"/>
      </rPr>
      <t xml:space="preserve"> unloaded
V</t>
    </r>
    <r>
      <rPr>
        <sz val="8"/>
        <color theme="1"/>
        <rFont val="Calibri"/>
        <family val="2"/>
        <scheme val="minor"/>
      </rPr>
      <t xml:space="preserve">DD </t>
    </r>
    <r>
      <rPr>
        <sz val="11"/>
        <color theme="1"/>
        <rFont val="Calibri"/>
        <family val="2"/>
        <scheme val="minor"/>
      </rPr>
      <t>= V</t>
    </r>
    <r>
      <rPr>
        <sz val="8"/>
        <color theme="1"/>
        <rFont val="Calibri"/>
        <family val="2"/>
        <scheme val="minor"/>
      </rPr>
      <t>REF</t>
    </r>
    <r>
      <rPr>
        <sz val="11"/>
        <color theme="1"/>
        <rFont val="Calibri"/>
        <family val="2"/>
        <scheme val="minor"/>
      </rPr>
      <t xml:space="preserve"> = 2.7V, 
D</t>
    </r>
    <r>
      <rPr>
        <sz val="8"/>
        <color theme="1"/>
        <rFont val="Calibri"/>
        <family val="2"/>
        <scheme val="minor"/>
      </rPr>
      <t xml:space="preserve">OUT </t>
    </r>
    <r>
      <rPr>
        <sz val="11"/>
        <color theme="1"/>
        <rFont val="Calibri"/>
        <family val="2"/>
        <scheme val="minor"/>
      </rPr>
      <t>unloaded</t>
    </r>
  </si>
  <si>
    <t>LAMBDA62-8D</t>
  </si>
  <si>
    <r>
      <t>25°C, V</t>
    </r>
    <r>
      <rPr>
        <sz val="8"/>
        <color theme="1"/>
        <rFont val="Calibri"/>
        <family val="2"/>
        <scheme val="minor"/>
      </rPr>
      <t xml:space="preserve">DD </t>
    </r>
    <r>
      <rPr>
        <sz val="11"/>
        <color theme="1"/>
        <rFont val="Calibri"/>
        <family val="2"/>
        <scheme val="minor"/>
      </rPr>
      <t>= 3V</t>
    </r>
  </si>
  <si>
    <t>ICE40HX4K-TQ144</t>
  </si>
  <si>
    <t>1N4448HSW-7-F </t>
  </si>
  <si>
    <t>IS25LP032D-JNLE </t>
  </si>
  <si>
    <t>MCP1725-ADJ E/SN </t>
  </si>
  <si>
    <t>M20-6102045 </t>
  </si>
  <si>
    <t>CON-SIL2</t>
  </si>
  <si>
    <t>MCSJK-3N-16.00-3.3-50-B </t>
  </si>
  <si>
    <t>HSMS-C170</t>
  </si>
  <si>
    <t>L77HDE15SD1CH4F</t>
  </si>
  <si>
    <t>Quiescent current</t>
  </si>
  <si>
    <t>W</t>
  </si>
  <si>
    <t xml:space="preserve">power </t>
  </si>
  <si>
    <t>P_3,3V</t>
  </si>
  <si>
    <t>P_1,2V</t>
  </si>
  <si>
    <t>mW</t>
  </si>
  <si>
    <t>standby power</t>
  </si>
  <si>
    <t>FRD Quad at 133MHz</t>
  </si>
  <si>
    <t xml:space="preserve"> IL = 0 mA, VIN = Note 1,
VOUT = 0.8V to 5.0V</t>
  </si>
  <si>
    <t>Supply Current</t>
  </si>
  <si>
    <t>P_2,6V</t>
  </si>
  <si>
    <t>MMBT3904-7-F</t>
  </si>
  <si>
    <t>NDS332P</t>
  </si>
  <si>
    <t>S6BZRSM4ATFLFSN</t>
  </si>
  <si>
    <t>M20-6102045</t>
  </si>
  <si>
    <t>ZHR-6</t>
  </si>
  <si>
    <t>P_5V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</si>
</sst>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0" xfId="0" applyFont="1"/>
    <xf numFmtId="0" fontId="0" fillId="0" borderId="0" xfId="0" applyAlignment="1">
      <alignment horizontal="left" wrapText="1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="73" zoomScaleNormal="85" workbookViewId="0">
      <selection activeCell="F12" sqref="F12"/>
    </sheetView>
  </sheetViews>
  <sheetFormatPr baseColWidth="10" defaultRowHeight="15" x14ac:dyDescent="0.25"/>
  <cols>
    <col min="1" max="1" width="22.5703125" customWidth="1"/>
    <col min="2" max="2" width="28" customWidth="1"/>
    <col min="3" max="3" width="20.140625" customWidth="1"/>
    <col min="4" max="4" width="16.28515625" customWidth="1"/>
    <col min="5" max="5" width="14.5703125" customWidth="1"/>
    <col min="7" max="7" width="21.5703125" customWidth="1"/>
    <col min="8" max="8" width="20.140625" customWidth="1"/>
    <col min="9" max="9" width="15.140625" customWidth="1"/>
    <col min="10" max="10" width="13.85546875" customWidth="1"/>
    <col min="11" max="11" width="14.85546875" customWidth="1"/>
    <col min="12" max="12" width="14.7109375" customWidth="1"/>
    <col min="13" max="13" width="18.42578125" customWidth="1"/>
    <col min="14" max="14" width="18.140625" customWidth="1"/>
  </cols>
  <sheetData>
    <row r="1" spans="1:14" x14ac:dyDescent="0.25">
      <c r="A1" s="1" t="s">
        <v>1</v>
      </c>
      <c r="B1" s="1"/>
      <c r="C1" s="1"/>
      <c r="D1" s="1"/>
      <c r="E1" s="1"/>
      <c r="F1" s="1"/>
      <c r="H1" s="1"/>
      <c r="I1" s="1" t="s">
        <v>7</v>
      </c>
    </row>
    <row r="2" spans="1:14" x14ac:dyDescent="0.25">
      <c r="A2" s="1"/>
      <c r="B2" s="1"/>
      <c r="C2" s="1"/>
      <c r="D2" s="1"/>
      <c r="E2" s="1"/>
      <c r="F2" s="1"/>
    </row>
    <row r="3" spans="1:14" x14ac:dyDescent="0.25">
      <c r="A3" s="1" t="s">
        <v>2</v>
      </c>
      <c r="B3" s="1" t="s">
        <v>3</v>
      </c>
      <c r="C3" s="1" t="s">
        <v>4</v>
      </c>
      <c r="D3" s="1" t="s">
        <v>17</v>
      </c>
      <c r="E3" s="1" t="s">
        <v>5</v>
      </c>
      <c r="F3" s="1"/>
      <c r="G3" s="5"/>
      <c r="H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</row>
    <row r="4" spans="1:14" x14ac:dyDescent="0.25">
      <c r="A4" t="s">
        <v>12</v>
      </c>
      <c r="B4" t="s">
        <v>18</v>
      </c>
      <c r="C4" s="3">
        <v>5</v>
      </c>
      <c r="D4">
        <v>1500</v>
      </c>
      <c r="E4">
        <f>C4*D4*(10^(-6))</f>
        <v>7.4999999999999997E-3</v>
      </c>
      <c r="G4" s="4"/>
    </row>
    <row r="5" spans="1:14" ht="31.5" customHeight="1" x14ac:dyDescent="0.25">
      <c r="A5" s="6" t="s">
        <v>13</v>
      </c>
      <c r="B5" s="7" t="s">
        <v>19</v>
      </c>
      <c r="C5" s="2">
        <v>5</v>
      </c>
      <c r="D5">
        <v>220</v>
      </c>
      <c r="E5">
        <f t="shared" ref="E5:E9" si="0">C5*D5*(10^(-6))</f>
        <v>1.0999999999999998E-3</v>
      </c>
    </row>
    <row r="6" spans="1:14" ht="65.25" customHeight="1" x14ac:dyDescent="0.25">
      <c r="A6" s="10" t="s">
        <v>14</v>
      </c>
      <c r="B6" s="11" t="s">
        <v>22</v>
      </c>
      <c r="C6" s="2">
        <v>5</v>
      </c>
      <c r="D6">
        <v>18</v>
      </c>
      <c r="E6">
        <f t="shared" si="0"/>
        <v>8.9999999999999992E-5</v>
      </c>
    </row>
    <row r="7" spans="1:14" s="8" customFormat="1" ht="75" customHeight="1" x14ac:dyDescent="0.25">
      <c r="A7" s="9"/>
      <c r="B7" s="11" t="s">
        <v>20</v>
      </c>
      <c r="C7" s="2">
        <v>3.3</v>
      </c>
      <c r="D7"/>
      <c r="E7">
        <f t="shared" si="0"/>
        <v>0</v>
      </c>
    </row>
    <row r="8" spans="1:14" ht="45.75" customHeight="1" x14ac:dyDescent="0.25">
      <c r="D8" s="1"/>
      <c r="E8">
        <f t="shared" si="0"/>
        <v>0</v>
      </c>
    </row>
    <row r="9" spans="1:14" x14ac:dyDescent="0.25">
      <c r="A9" t="s">
        <v>15</v>
      </c>
      <c r="B9" t="s">
        <v>32</v>
      </c>
      <c r="C9" s="2">
        <v>3.3</v>
      </c>
      <c r="D9" s="2">
        <v>100000</v>
      </c>
      <c r="E9">
        <f>C9*D9*(10^(-6))</f>
        <v>0.32999999999999996</v>
      </c>
    </row>
    <row r="10" spans="1:14" x14ac:dyDescent="0.25">
      <c r="A10" t="s">
        <v>16</v>
      </c>
    </row>
    <row r="12" spans="1:14" x14ac:dyDescent="0.25">
      <c r="D12" s="1"/>
    </row>
    <row r="15" spans="1:14" x14ac:dyDescent="0.25">
      <c r="C15" s="1" t="s">
        <v>48</v>
      </c>
      <c r="D15" s="1">
        <f>SUMIFS(E$4:E$14,C$4:C$14,"5")</f>
        <v>8.6899999999999998E-3</v>
      </c>
      <c r="E15" s="1" t="s">
        <v>46</v>
      </c>
    </row>
    <row r="16" spans="1:14" x14ac:dyDescent="0.25">
      <c r="C16" s="1" t="s">
        <v>61</v>
      </c>
      <c r="D16" s="1">
        <f t="shared" ref="D16:D17" si="1">SUMIFS(E$4:E$14,C$4:C$14,"3,3")</f>
        <v>0.32999999999999996</v>
      </c>
      <c r="E16" s="1" t="s">
        <v>46</v>
      </c>
      <c r="G16" t="s">
        <v>21</v>
      </c>
    </row>
    <row r="17" spans="3:5" x14ac:dyDescent="0.25">
      <c r="C17" s="1" t="s">
        <v>55</v>
      </c>
      <c r="D17" s="1">
        <f>SUMIFS(E$4:E$14,C$4:C$14,"2,6")</f>
        <v>0</v>
      </c>
      <c r="E17" s="1" t="s">
        <v>46</v>
      </c>
    </row>
    <row r="19" spans="3:5" x14ac:dyDescent="0.25">
      <c r="C19" s="1" t="s">
        <v>0</v>
      </c>
      <c r="D19" s="1">
        <f>SUM(D15:D17)</f>
        <v>0.33868999999999994</v>
      </c>
      <c r="E19" s="1" t="s">
        <v>46</v>
      </c>
    </row>
    <row r="20" spans="3:5" x14ac:dyDescent="0.25">
      <c r="D20" s="1">
        <f>D19*1000</f>
        <v>338.68999999999994</v>
      </c>
      <c r="E20" s="1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="76" workbookViewId="0">
      <selection activeCell="C27" sqref="C27"/>
    </sheetView>
  </sheetViews>
  <sheetFormatPr baseColWidth="10" defaultRowHeight="15" x14ac:dyDescent="0.25"/>
  <cols>
    <col min="1" max="1" width="28.5703125" customWidth="1"/>
    <col min="2" max="2" width="14.85546875" customWidth="1"/>
    <col min="9" max="9" width="17.28515625" customWidth="1"/>
  </cols>
  <sheetData>
    <row r="1" spans="1:15" x14ac:dyDescent="0.25">
      <c r="A1" s="1" t="s">
        <v>1</v>
      </c>
      <c r="B1" s="1"/>
      <c r="C1" s="1"/>
      <c r="D1" s="1"/>
      <c r="E1" s="1"/>
      <c r="F1" s="1"/>
      <c r="I1" s="1" t="s">
        <v>7</v>
      </c>
    </row>
    <row r="2" spans="1:15" x14ac:dyDescent="0.25">
      <c r="A2" s="1"/>
      <c r="B2" s="1"/>
      <c r="C2" s="1"/>
      <c r="D2" s="1"/>
      <c r="E2" s="1"/>
      <c r="F2" s="1"/>
    </row>
    <row r="3" spans="1:15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5</v>
      </c>
      <c r="F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  <c r="O3" s="1"/>
    </row>
    <row r="4" spans="1:15" x14ac:dyDescent="0.25">
      <c r="A4" t="s">
        <v>36</v>
      </c>
      <c r="B4" t="s">
        <v>51</v>
      </c>
      <c r="C4">
        <v>3.3</v>
      </c>
      <c r="D4">
        <f>21*10^(-6)</f>
        <v>2.0999999999999999E-5</v>
      </c>
      <c r="E4">
        <f>C4*D4</f>
        <v>6.929999999999999E-5</v>
      </c>
    </row>
    <row r="5" spans="1:15" x14ac:dyDescent="0.25">
      <c r="A5" t="s">
        <v>36</v>
      </c>
      <c r="B5" t="s">
        <v>51</v>
      </c>
      <c r="C5">
        <v>3.3</v>
      </c>
      <c r="D5">
        <f>21*10^(-6)</f>
        <v>2.0999999999999999E-5</v>
      </c>
      <c r="E5">
        <f>C5*D5</f>
        <v>6.929999999999999E-5</v>
      </c>
    </row>
    <row r="6" spans="1:15" x14ac:dyDescent="0.25">
      <c r="A6" t="s">
        <v>36</v>
      </c>
      <c r="B6" t="s">
        <v>51</v>
      </c>
      <c r="C6">
        <v>3.3</v>
      </c>
      <c r="D6">
        <f>21*10^(-6)</f>
        <v>2.0999999999999999E-5</v>
      </c>
      <c r="E6">
        <f>C6*D6</f>
        <v>6.929999999999999E-5</v>
      </c>
    </row>
    <row r="7" spans="1:15" x14ac:dyDescent="0.25">
      <c r="A7" t="s">
        <v>36</v>
      </c>
      <c r="B7" t="s">
        <v>51</v>
      </c>
      <c r="C7">
        <v>3.3</v>
      </c>
      <c r="D7">
        <f>21*10^(-6)</f>
        <v>2.0999999999999999E-5</v>
      </c>
      <c r="E7">
        <f>C7*D7</f>
        <v>6.929999999999999E-5</v>
      </c>
    </row>
    <row r="8" spans="1:15" x14ac:dyDescent="0.25">
      <c r="A8" t="s">
        <v>36</v>
      </c>
      <c r="B8" t="s">
        <v>47</v>
      </c>
      <c r="C8">
        <v>1.2</v>
      </c>
      <c r="D8">
        <f>21*10^(-6)</f>
        <v>2.0999999999999999E-5</v>
      </c>
      <c r="E8">
        <f t="shared" ref="E8:E16" si="0">C8*D8</f>
        <v>2.5199999999999999E-5</v>
      </c>
    </row>
    <row r="9" spans="1:15" x14ac:dyDescent="0.25">
      <c r="A9" s="12" t="s">
        <v>37</v>
      </c>
      <c r="C9">
        <v>3.3</v>
      </c>
      <c r="D9">
        <v>0</v>
      </c>
      <c r="E9">
        <f t="shared" si="0"/>
        <v>0</v>
      </c>
    </row>
    <row r="10" spans="1:15" x14ac:dyDescent="0.25">
      <c r="A10" s="12" t="s">
        <v>38</v>
      </c>
      <c r="B10" t="s">
        <v>52</v>
      </c>
      <c r="C10">
        <v>3.3</v>
      </c>
      <c r="D10">
        <f>17*10^(-3)</f>
        <v>1.7000000000000001E-2</v>
      </c>
      <c r="E10">
        <f t="shared" si="0"/>
        <v>5.6100000000000004E-2</v>
      </c>
    </row>
    <row r="11" spans="1:15" ht="60" x14ac:dyDescent="0.25">
      <c r="A11" s="12" t="s">
        <v>39</v>
      </c>
      <c r="B11" s="8" t="s">
        <v>53</v>
      </c>
      <c r="C11">
        <v>3.3</v>
      </c>
      <c r="D11">
        <f>220*10^(-6)</f>
        <v>2.1999999999999998E-4</v>
      </c>
      <c r="E11">
        <f t="shared" si="0"/>
        <v>7.2599999999999987E-4</v>
      </c>
    </row>
    <row r="12" spans="1:15" x14ac:dyDescent="0.25">
      <c r="A12" s="14" t="s">
        <v>40</v>
      </c>
      <c r="C12">
        <v>0</v>
      </c>
      <c r="D12">
        <v>0</v>
      </c>
      <c r="E12">
        <f t="shared" si="0"/>
        <v>0</v>
      </c>
    </row>
    <row r="13" spans="1:15" x14ac:dyDescent="0.25">
      <c r="A13" s="14" t="s">
        <v>41</v>
      </c>
      <c r="C13">
        <v>0</v>
      </c>
      <c r="D13">
        <v>0</v>
      </c>
      <c r="E13">
        <f t="shared" si="0"/>
        <v>0</v>
      </c>
    </row>
    <row r="14" spans="1:15" x14ac:dyDescent="0.25">
      <c r="A14" s="12" t="s">
        <v>42</v>
      </c>
      <c r="B14" t="s">
        <v>54</v>
      </c>
      <c r="C14">
        <v>3.3</v>
      </c>
      <c r="D14">
        <f>15*10^(-3)</f>
        <v>1.4999999999999999E-2</v>
      </c>
      <c r="E14">
        <f t="shared" si="0"/>
        <v>4.9499999999999995E-2</v>
      </c>
    </row>
    <row r="15" spans="1:15" x14ac:dyDescent="0.25">
      <c r="A15" t="s">
        <v>43</v>
      </c>
      <c r="C15">
        <v>2.6</v>
      </c>
      <c r="D15">
        <f>20*10^(-3)</f>
        <v>0.02</v>
      </c>
      <c r="E15">
        <f t="shared" si="0"/>
        <v>5.2000000000000005E-2</v>
      </c>
    </row>
    <row r="16" spans="1:15" x14ac:dyDescent="0.25">
      <c r="A16" s="4" t="s">
        <v>44</v>
      </c>
      <c r="C16">
        <v>0</v>
      </c>
      <c r="D16">
        <v>0</v>
      </c>
      <c r="E16">
        <f t="shared" si="0"/>
        <v>0</v>
      </c>
    </row>
    <row r="19" spans="2:4" x14ac:dyDescent="0.25">
      <c r="B19" s="1" t="s">
        <v>48</v>
      </c>
      <c r="C19" s="1">
        <f>SUMIFS(E$4:E$16,C$4:C$16,"3,3")</f>
        <v>0.1066032</v>
      </c>
      <c r="D19" s="1" t="s">
        <v>46</v>
      </c>
    </row>
    <row r="20" spans="2:4" x14ac:dyDescent="0.25">
      <c r="B20" s="1" t="s">
        <v>49</v>
      </c>
      <c r="C20" s="1">
        <f>SUMIFS(E$4:E$16,C$4:C$16,"1,2")</f>
        <v>2.5199999999999999E-5</v>
      </c>
      <c r="D20" s="1" t="s">
        <v>46</v>
      </c>
    </row>
    <row r="21" spans="2:4" x14ac:dyDescent="0.25">
      <c r="B21" s="1" t="s">
        <v>55</v>
      </c>
      <c r="C21" s="1">
        <f>SUMIFS(E$4:E$16,C$4:C$16,"2,6")</f>
        <v>5.2000000000000005E-2</v>
      </c>
      <c r="D21" s="1" t="s">
        <v>46</v>
      </c>
    </row>
    <row r="23" spans="2:4" x14ac:dyDescent="0.25">
      <c r="B23" s="1" t="s">
        <v>0</v>
      </c>
      <c r="C23" s="1">
        <f>SUM(C19:C21)</f>
        <v>0.1586284</v>
      </c>
      <c r="D23" s="1" t="s">
        <v>46</v>
      </c>
    </row>
    <row r="24" spans="2:4" x14ac:dyDescent="0.25">
      <c r="C24" s="1">
        <f>C23*1000</f>
        <v>158.6284</v>
      </c>
      <c r="D24" s="1" t="s">
        <v>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zoomScale="86" workbookViewId="0">
      <selection activeCell="F19" sqref="F19"/>
    </sheetView>
  </sheetViews>
  <sheetFormatPr baseColWidth="10" defaultRowHeight="15" x14ac:dyDescent="0.25"/>
  <cols>
    <col min="1" max="1" width="18.7109375" customWidth="1"/>
    <col min="2" max="2" width="20.7109375" customWidth="1"/>
    <col min="3" max="3" width="14.42578125" customWidth="1"/>
    <col min="4" max="4" width="15.28515625" customWidth="1"/>
    <col min="5" max="5" width="14" customWidth="1"/>
    <col min="9" max="9" width="15.7109375" customWidth="1"/>
    <col min="10" max="10" width="18.42578125" customWidth="1"/>
    <col min="14" max="14" width="17.85546875" customWidth="1"/>
  </cols>
  <sheetData>
    <row r="1" spans="1:14" x14ac:dyDescent="0.25">
      <c r="A1" s="1" t="s">
        <v>1</v>
      </c>
      <c r="B1" s="1"/>
      <c r="C1" s="1"/>
      <c r="D1" s="1"/>
      <c r="E1" s="1"/>
      <c r="F1" s="1"/>
      <c r="I1" s="1" t="s">
        <v>7</v>
      </c>
    </row>
    <row r="2" spans="1:14" x14ac:dyDescent="0.25">
      <c r="A2" s="1"/>
      <c r="B2" s="1"/>
      <c r="C2" s="1"/>
      <c r="D2" s="1"/>
      <c r="E2" s="1"/>
      <c r="F2" s="1"/>
    </row>
    <row r="3" spans="1:14" x14ac:dyDescent="0.25">
      <c r="A3" s="1" t="s">
        <v>2</v>
      </c>
      <c r="B3" s="1" t="s">
        <v>3</v>
      </c>
      <c r="C3" s="1" t="s">
        <v>4</v>
      </c>
      <c r="D3" s="1" t="s">
        <v>31</v>
      </c>
      <c r="E3" s="1" t="s">
        <v>5</v>
      </c>
      <c r="F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</row>
    <row r="4" spans="1:14" x14ac:dyDescent="0.25">
      <c r="A4" s="10" t="s">
        <v>23</v>
      </c>
      <c r="B4" s="10"/>
      <c r="C4" s="2">
        <v>3.3</v>
      </c>
      <c r="D4">
        <v>100</v>
      </c>
      <c r="E4">
        <f>(C4*D4)/1000</f>
        <v>0.33</v>
      </c>
    </row>
    <row r="5" spans="1:14" x14ac:dyDescent="0.25">
      <c r="A5" s="13" t="s">
        <v>24</v>
      </c>
      <c r="B5" s="9"/>
      <c r="C5" s="2">
        <v>3.3</v>
      </c>
      <c r="D5">
        <v>12</v>
      </c>
      <c r="E5">
        <f t="shared" ref="E5:E15" si="0">(C5*D5)/1000</f>
        <v>3.9599999999999996E-2</v>
      </c>
    </row>
    <row r="6" spans="1:14" x14ac:dyDescent="0.25">
      <c r="A6" t="s">
        <v>25</v>
      </c>
      <c r="B6" t="s">
        <v>35</v>
      </c>
      <c r="C6" s="2">
        <v>3.3</v>
      </c>
      <c r="D6">
        <v>240</v>
      </c>
      <c r="E6">
        <f t="shared" si="0"/>
        <v>0.79200000000000004</v>
      </c>
    </row>
    <row r="7" spans="1:14" x14ac:dyDescent="0.25">
      <c r="A7" t="s">
        <v>26</v>
      </c>
      <c r="C7" s="2"/>
      <c r="E7">
        <f t="shared" si="0"/>
        <v>0</v>
      </c>
    </row>
    <row r="8" spans="1:14" x14ac:dyDescent="0.25">
      <c r="A8" t="s">
        <v>27</v>
      </c>
      <c r="C8" s="2">
        <v>5</v>
      </c>
      <c r="E8">
        <f t="shared" si="0"/>
        <v>0</v>
      </c>
    </row>
    <row r="9" spans="1:14" ht="60" x14ac:dyDescent="0.25">
      <c r="A9" s="13" t="s">
        <v>28</v>
      </c>
      <c r="B9" s="8" t="s">
        <v>33</v>
      </c>
      <c r="C9" s="2"/>
      <c r="D9" s="2">
        <v>0.55000000000000004</v>
      </c>
      <c r="E9">
        <f t="shared" si="0"/>
        <v>0</v>
      </c>
    </row>
    <row r="10" spans="1:14" x14ac:dyDescent="0.25">
      <c r="A10" t="s">
        <v>29</v>
      </c>
      <c r="C10" s="2">
        <v>3.3</v>
      </c>
      <c r="E10">
        <f t="shared" si="0"/>
        <v>0</v>
      </c>
    </row>
    <row r="11" spans="1:14" x14ac:dyDescent="0.25">
      <c r="A11" s="13" t="s">
        <v>30</v>
      </c>
      <c r="B11" s="13"/>
      <c r="C11" s="2"/>
      <c r="E11">
        <f t="shared" si="0"/>
        <v>0</v>
      </c>
    </row>
    <row r="12" spans="1:14" x14ac:dyDescent="0.25">
      <c r="A12" t="s">
        <v>56</v>
      </c>
      <c r="C12" s="2"/>
      <c r="E12">
        <f t="shared" si="0"/>
        <v>0</v>
      </c>
    </row>
    <row r="13" spans="1:14" x14ac:dyDescent="0.25">
      <c r="A13" s="13" t="s">
        <v>57</v>
      </c>
      <c r="E13">
        <f t="shared" si="0"/>
        <v>0</v>
      </c>
    </row>
    <row r="14" spans="1:14" x14ac:dyDescent="0.25">
      <c r="A14" s="13" t="s">
        <v>58</v>
      </c>
      <c r="E14">
        <f t="shared" si="0"/>
        <v>0</v>
      </c>
    </row>
    <row r="15" spans="1:14" x14ac:dyDescent="0.25">
      <c r="A15" s="13" t="s">
        <v>59</v>
      </c>
      <c r="C15">
        <v>0</v>
      </c>
      <c r="D15">
        <v>0</v>
      </c>
      <c r="E15">
        <f t="shared" si="0"/>
        <v>0</v>
      </c>
    </row>
    <row r="16" spans="1:14" x14ac:dyDescent="0.25">
      <c r="A16" s="13" t="s">
        <v>60</v>
      </c>
    </row>
    <row r="18" spans="3:5" x14ac:dyDescent="0.25">
      <c r="C18" s="1" t="s">
        <v>48</v>
      </c>
      <c r="D18" s="1">
        <f>SUMIFS(E$4:E$16,C$4:C$16,"3,3")</f>
        <v>1.1616</v>
      </c>
      <c r="E18" s="1" t="s">
        <v>46</v>
      </c>
    </row>
    <row r="19" spans="3:5" x14ac:dyDescent="0.25">
      <c r="C19" s="1" t="s">
        <v>61</v>
      </c>
      <c r="D19" s="1">
        <f>SUMIFS(E$4:E$16,C$4:C$16,"5,0")</f>
        <v>0</v>
      </c>
      <c r="E19" s="1" t="s">
        <v>46</v>
      </c>
    </row>
    <row r="20" spans="3:5" x14ac:dyDescent="0.25">
      <c r="C20" s="1" t="s">
        <v>55</v>
      </c>
      <c r="D20" s="1">
        <f>SUMIFS(E$4:E$16,C$4:C$16,"2,6")</f>
        <v>0</v>
      </c>
      <c r="E20" s="1" t="s">
        <v>46</v>
      </c>
    </row>
    <row r="22" spans="3:5" x14ac:dyDescent="0.25">
      <c r="C22" s="1" t="s">
        <v>0</v>
      </c>
      <c r="D22" s="1">
        <f>SUM(D18:D20)</f>
        <v>1.1616</v>
      </c>
      <c r="E22" s="1" t="s">
        <v>46</v>
      </c>
    </row>
    <row r="23" spans="3:5" x14ac:dyDescent="0.25">
      <c r="D23" s="1">
        <f>D22*1000</f>
        <v>1161.5999999999999</v>
      </c>
      <c r="E23" s="1" t="s">
        <v>50</v>
      </c>
    </row>
    <row r="24" spans="3:5" x14ac:dyDescent="0.25">
      <c r="C24" s="1"/>
      <c r="D24" s="1"/>
      <c r="E24" s="1"/>
    </row>
    <row r="25" spans="3:5" x14ac:dyDescent="0.25">
      <c r="C25" s="1"/>
      <c r="D25" s="1"/>
      <c r="E25" s="1"/>
    </row>
    <row r="26" spans="3:5" x14ac:dyDescent="0.25">
      <c r="C26" s="1"/>
      <c r="D26" s="1"/>
      <c r="E26" s="1"/>
    </row>
    <row r="28" spans="3:5" x14ac:dyDescent="0.25">
      <c r="C28" s="1"/>
      <c r="D28" s="1"/>
      <c r="E28" s="1"/>
    </row>
    <row r="29" spans="3:5" x14ac:dyDescent="0.25">
      <c r="D29" s="1"/>
      <c r="E29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workbookViewId="0">
      <selection activeCell="F13" sqref="F13"/>
    </sheetView>
  </sheetViews>
  <sheetFormatPr baseColWidth="10" defaultRowHeight="15" x14ac:dyDescent="0.25"/>
  <cols>
    <col min="1" max="1" width="16.42578125" customWidth="1"/>
    <col min="2" max="2" width="21.7109375" customWidth="1"/>
    <col min="3" max="3" width="18.28515625" customWidth="1"/>
    <col min="4" max="5" width="15.5703125" customWidth="1"/>
    <col min="9" max="9" width="15.85546875" customWidth="1"/>
    <col min="10" max="10" width="16.5703125" customWidth="1"/>
    <col min="12" max="12" width="14.7109375" customWidth="1"/>
    <col min="14" max="14" width="17.5703125" customWidth="1"/>
  </cols>
  <sheetData>
    <row r="1" spans="1:14" x14ac:dyDescent="0.25">
      <c r="A1" s="1" t="s">
        <v>1</v>
      </c>
      <c r="B1" s="1"/>
      <c r="C1" s="1"/>
      <c r="D1" s="1"/>
      <c r="E1" s="1"/>
      <c r="F1" s="1"/>
      <c r="I1" s="1" t="s">
        <v>7</v>
      </c>
    </row>
    <row r="2" spans="1:14" x14ac:dyDescent="0.25">
      <c r="A2" s="1"/>
      <c r="B2" s="1"/>
      <c r="C2" s="1"/>
      <c r="D2" s="1"/>
      <c r="E2" s="1"/>
      <c r="F2" s="1"/>
    </row>
    <row r="3" spans="1:14" x14ac:dyDescent="0.25">
      <c r="A3" s="1" t="s">
        <v>2</v>
      </c>
      <c r="B3" s="1" t="s">
        <v>3</v>
      </c>
      <c r="C3" s="1" t="s">
        <v>4</v>
      </c>
      <c r="D3" s="1" t="s">
        <v>17</v>
      </c>
      <c r="E3" s="1" t="s">
        <v>5</v>
      </c>
      <c r="F3" s="1"/>
      <c r="I3" s="1" t="s">
        <v>2</v>
      </c>
      <c r="J3" s="1" t="s">
        <v>3</v>
      </c>
      <c r="K3" s="1" t="s">
        <v>8</v>
      </c>
      <c r="L3" s="1" t="s">
        <v>9</v>
      </c>
      <c r="M3" s="1" t="s">
        <v>10</v>
      </c>
      <c r="N3" s="1" t="s">
        <v>11</v>
      </c>
    </row>
    <row r="4" spans="1:14" x14ac:dyDescent="0.25">
      <c r="A4" s="15" t="s">
        <v>34</v>
      </c>
      <c r="B4" t="s">
        <v>45</v>
      </c>
      <c r="C4">
        <v>3.3</v>
      </c>
      <c r="D4">
        <f>70*10^(-6)</f>
        <v>6.9999999999999994E-5</v>
      </c>
      <c r="E4">
        <f>C4*D4</f>
        <v>2.3099999999999998E-4</v>
      </c>
    </row>
    <row r="6" spans="1:14" x14ac:dyDescent="0.25">
      <c r="D6" s="1" t="s">
        <v>48</v>
      </c>
      <c r="E6" s="1">
        <f>E4</f>
        <v>2.3099999999999998E-4</v>
      </c>
      <c r="F6" s="1" t="s">
        <v>46</v>
      </c>
    </row>
    <row r="7" spans="1:14" x14ac:dyDescent="0.25">
      <c r="D7" s="1" t="s">
        <v>0</v>
      </c>
      <c r="E7" s="1">
        <f>SUM(E4:E5)</f>
        <v>2.3099999999999998E-4</v>
      </c>
      <c r="F7" s="1" t="s">
        <v>46</v>
      </c>
    </row>
    <row r="8" spans="1:14" x14ac:dyDescent="0.25">
      <c r="B8" s="2"/>
      <c r="C8" s="2"/>
      <c r="D8" s="16"/>
      <c r="E8" s="16">
        <f>E7*1000</f>
        <v>0.23099999999999998</v>
      </c>
      <c r="F8" s="1" t="s">
        <v>50</v>
      </c>
    </row>
    <row r="9" spans="1:14" x14ac:dyDescent="0.25">
      <c r="B9" s="2"/>
      <c r="C9" s="2"/>
      <c r="D9" s="2"/>
      <c r="E9" s="2"/>
    </row>
    <row r="10" spans="1:14" x14ac:dyDescent="0.25">
      <c r="B10" s="2"/>
      <c r="C10" s="2"/>
      <c r="D10" s="2"/>
      <c r="E10" s="2"/>
    </row>
    <row r="11" spans="1:14" x14ac:dyDescent="0.25">
      <c r="B11" s="2"/>
      <c r="D11" s="2"/>
      <c r="E11" s="2"/>
    </row>
    <row r="12" spans="1:14" x14ac:dyDescent="0.25">
      <c r="B12" s="2"/>
      <c r="D12" s="2"/>
      <c r="E12" s="2"/>
    </row>
    <row r="13" spans="1:14" x14ac:dyDescent="0.25">
      <c r="B13" s="2"/>
      <c r="D13" s="2"/>
      <c r="E13" s="2"/>
    </row>
    <row r="14" spans="1:14" x14ac:dyDescent="0.25">
      <c r="D14" s="2"/>
      <c r="E14" s="2"/>
    </row>
    <row r="15" spans="1:14" x14ac:dyDescent="0.25">
      <c r="D15" s="2"/>
      <c r="E15" s="2"/>
    </row>
    <row r="16" spans="1:14" x14ac:dyDescent="0.25">
      <c r="D16" s="2"/>
      <c r="E16" s="2"/>
    </row>
    <row r="17" spans="4:5" x14ac:dyDescent="0.25">
      <c r="D17" s="2"/>
      <c r="E17" s="2"/>
    </row>
    <row r="18" spans="4:5" x14ac:dyDescent="0.25">
      <c r="E1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PCB0.Alim_Prog_USB</vt:lpstr>
      <vt:lpstr>PCB1.FPGA</vt:lpstr>
      <vt:lpstr>PCB2.Sensores</vt:lpstr>
      <vt:lpstr>PCB3.Antena en 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Invitado(pass user)</dc:creator>
  <cp:lastModifiedBy>VICTOR SANCHEZ VALENCIA</cp:lastModifiedBy>
  <dcterms:created xsi:type="dcterms:W3CDTF">2025-10-10T08:06:52Z</dcterms:created>
  <dcterms:modified xsi:type="dcterms:W3CDTF">2025-10-19T21:02:28Z</dcterms:modified>
</cp:coreProperties>
</file>