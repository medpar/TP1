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vitado(pass user)\Downloads\"/>
    </mc:Choice>
  </mc:AlternateContent>
  <bookViews>
    <workbookView xWindow="-105" yWindow="-105" windowWidth="23250" windowHeight="12450" activeTab="1"/>
  </bookViews>
  <sheets>
    <sheet name="TOTAL_V" sheetId="5" r:id="rId1"/>
    <sheet name="PCB0.Alim_Prog_USB" sheetId="1" r:id="rId2"/>
    <sheet name="PCB1.FPGA" sheetId="2" r:id="rId3"/>
    <sheet name="PCB2.Sensores" sheetId="3" r:id="rId4"/>
    <sheet name="PCB3.Antena en PCB" sheetId="4" r:id="rId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D17" i="1" l="1"/>
  <c r="K8" i="4" l="1"/>
  <c r="K7" i="4"/>
  <c r="L20" i="3"/>
  <c r="L17" i="3"/>
  <c r="L16" i="3"/>
  <c r="L15" i="3"/>
  <c r="L13" i="3"/>
  <c r="L14" i="3"/>
  <c r="D13" i="3"/>
  <c r="M20" i="2"/>
  <c r="G16" i="5" s="1"/>
  <c r="M19" i="2"/>
  <c r="M17" i="2"/>
  <c r="M16" i="2"/>
  <c r="C16" i="2"/>
  <c r="M16" i="1"/>
  <c r="M14" i="1"/>
  <c r="D14" i="1"/>
  <c r="D13" i="5" s="1"/>
  <c r="D16" i="5"/>
  <c r="D15" i="5"/>
  <c r="G13" i="5" l="1"/>
  <c r="N9" i="3"/>
  <c r="I4" i="3"/>
  <c r="N7" i="2"/>
  <c r="N8" i="2"/>
  <c r="N9" i="2"/>
  <c r="N10" i="2"/>
  <c r="N11" i="2"/>
  <c r="N12" i="2"/>
  <c r="M18" i="2" s="1"/>
  <c r="M23" i="2" s="1"/>
  <c r="N5" i="1"/>
  <c r="J4" i="1"/>
  <c r="J4" i="4"/>
  <c r="I4" i="4"/>
  <c r="J6" i="3"/>
  <c r="J9" i="3"/>
  <c r="I5" i="3"/>
  <c r="I6" i="3"/>
  <c r="I7" i="3"/>
  <c r="I8" i="3"/>
  <c r="I9" i="3"/>
  <c r="I10" i="3"/>
  <c r="I4" i="2"/>
  <c r="I5" i="2"/>
  <c r="I6" i="2"/>
  <c r="I7" i="2"/>
  <c r="I8" i="2"/>
  <c r="I9" i="2"/>
  <c r="I11" i="2"/>
  <c r="I12" i="2"/>
  <c r="I13" i="2"/>
  <c r="J4" i="2"/>
  <c r="J5" i="2"/>
  <c r="J7" i="2"/>
  <c r="J8" i="2"/>
  <c r="J11" i="2"/>
  <c r="J6" i="1"/>
  <c r="J7" i="1"/>
  <c r="J8" i="1"/>
  <c r="M17" i="1"/>
  <c r="G15" i="5" s="1"/>
  <c r="E4" i="1"/>
  <c r="K4" i="1" s="1"/>
  <c r="N4" i="1" s="1"/>
  <c r="G14" i="5" l="1"/>
  <c r="D15" i="3"/>
  <c r="D16" i="1" l="1"/>
  <c r="D14" i="5" s="1"/>
  <c r="E8" i="1"/>
  <c r="K8" i="1" s="1"/>
  <c r="N8" i="1" s="1"/>
  <c r="K6" i="1"/>
  <c r="N6" i="1" s="1"/>
  <c r="E7" i="1"/>
  <c r="K7" i="1" s="1"/>
  <c r="N7" i="1" s="1"/>
  <c r="D15" i="1"/>
  <c r="D12" i="5" s="1"/>
  <c r="E4" i="3"/>
  <c r="K4" i="3" s="1"/>
  <c r="E5" i="3"/>
  <c r="K5" i="3" s="1"/>
  <c r="E6" i="3"/>
  <c r="K6" i="3" s="1"/>
  <c r="E7" i="3"/>
  <c r="K7" i="3" s="1"/>
  <c r="E8" i="3"/>
  <c r="E9" i="3"/>
  <c r="K9" i="3" s="1"/>
  <c r="E10" i="3"/>
  <c r="K10" i="3" s="1"/>
  <c r="E13" i="2"/>
  <c r="K13" i="2" s="1"/>
  <c r="D12" i="2"/>
  <c r="E12" i="2" s="1"/>
  <c r="D4" i="2"/>
  <c r="E4" i="2" s="1"/>
  <c r="K4" i="2" s="1"/>
  <c r="N4" i="2" s="1"/>
  <c r="D5" i="2"/>
  <c r="E5" i="2" s="1"/>
  <c r="D11" i="2"/>
  <c r="E11" i="2" s="1"/>
  <c r="K11" i="2" s="1"/>
  <c r="D8" i="2"/>
  <c r="E8" i="2" s="1"/>
  <c r="K8" i="2" s="1"/>
  <c r="D7" i="2"/>
  <c r="E7" i="2" s="1"/>
  <c r="K7" i="2" s="1"/>
  <c r="E6" i="2"/>
  <c r="K6" i="2" s="1"/>
  <c r="N6" i="2" s="1"/>
  <c r="D4" i="4"/>
  <c r="E4" i="4" s="1"/>
  <c r="E10" i="2"/>
  <c r="K10" i="2" s="1"/>
  <c r="E9" i="2"/>
  <c r="K9" i="2" s="1"/>
  <c r="M15" i="1" l="1"/>
  <c r="G12" i="5" s="1"/>
  <c r="G18" i="5" s="1"/>
  <c r="D18" i="5"/>
  <c r="K5" i="2"/>
  <c r="N5" i="2" s="1"/>
  <c r="C17" i="2"/>
  <c r="K12" i="2"/>
  <c r="C18" i="2"/>
  <c r="E7" i="4"/>
  <c r="E8" i="4" s="1"/>
  <c r="K4" i="4"/>
  <c r="D14" i="3"/>
  <c r="K8" i="3"/>
  <c r="D18" i="1"/>
  <c r="D19" i="1" s="1"/>
  <c r="D17" i="3"/>
  <c r="D18" i="3" s="1"/>
  <c r="E6" i="4"/>
  <c r="M18" i="1" l="1"/>
  <c r="C20" i="2"/>
  <c r="C21" i="2" s="1"/>
</calcChain>
</file>

<file path=xl/sharedStrings.xml><?xml version="1.0" encoding="utf-8"?>
<sst xmlns="http://schemas.openxmlformats.org/spreadsheetml/2006/main" count="190" uniqueCount="67">
  <si>
    <t>TOTAL</t>
  </si>
  <si>
    <t>Power Calculations</t>
  </si>
  <si>
    <t>Components</t>
  </si>
  <si>
    <t>Conditions</t>
  </si>
  <si>
    <t>Voltage (V)</t>
  </si>
  <si>
    <t>Power (W)</t>
  </si>
  <si>
    <t>Currents (A)</t>
  </si>
  <si>
    <t>Thermal Analysis</t>
  </si>
  <si>
    <t>Power</t>
  </si>
  <si>
    <t>Max Power</t>
  </si>
  <si>
    <t>Theta_jar</t>
  </si>
  <si>
    <t>Temperature (Cº)</t>
  </si>
  <si>
    <t>MCP73831T-2QACI/OT</t>
  </si>
  <si>
    <t>MCP1725-ADJ E/SN</t>
  </si>
  <si>
    <t>CY765213-28PVXI</t>
  </si>
  <si>
    <t>LPC1112FD20/102</t>
  </si>
  <si>
    <t>Currents (µA)</t>
  </si>
  <si>
    <t xml:space="preserve">Charging </t>
  </si>
  <si>
    <r>
      <t>I</t>
    </r>
    <r>
      <rPr>
        <sz val="8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0 mA, V</t>
    </r>
    <r>
      <rPr>
        <sz val="8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  <r>
      <rPr>
        <b/>
        <sz val="11"/>
        <color theme="1"/>
        <rFont val="Calibri"/>
        <family val="2"/>
        <scheme val="minor"/>
      </rPr>
      <t xml:space="preserve"> Note 1  </t>
    </r>
    <r>
      <rPr>
        <sz val="11"/>
        <color theme="1"/>
        <rFont val="Calibri"/>
        <family val="2"/>
        <scheme val="minor"/>
      </rPr>
      <t xml:space="preserve">           V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= 0.8V to 5.0V </t>
    </r>
  </si>
  <si>
    <r>
      <rPr>
        <b/>
        <sz val="11"/>
        <color rgb="FFFF0000"/>
        <rFont val="Calibri"/>
        <family val="2"/>
        <scheme val="minor"/>
      </rPr>
      <t>Note 1:</t>
    </r>
    <r>
      <rPr>
        <sz val="11"/>
        <color rgb="FFFF0000"/>
        <rFont val="Calibri"/>
        <family val="2"/>
        <scheme val="minor"/>
      </rPr>
      <t xml:space="preserve"> VIN ≥ 2.3V,  VIN ≥ VOUT(MAX) + VDROPOUT(MAX), VIN ≥ 2.3V,  VIN ≥ VOUT(MAX) + VDROPOUT(MAX)    </t>
    </r>
    <r>
      <rPr>
        <sz val="11"/>
        <color theme="1"/>
        <rFont val="Calibri"/>
        <family val="2"/>
        <scheme val="minor"/>
      </rPr>
      <t xml:space="preserve">   </t>
    </r>
  </si>
  <si>
    <t>TEL0132 </t>
  </si>
  <si>
    <t>BME680 </t>
  </si>
  <si>
    <t>MS860702BA01-50</t>
  </si>
  <si>
    <t>GP2Y1010AU0F</t>
  </si>
  <si>
    <t>SEN0134 </t>
  </si>
  <si>
    <t>MCP3004-I/SL </t>
  </si>
  <si>
    <t>XC9141B50DMR-G </t>
  </si>
  <si>
    <t>Currents (mA)</t>
  </si>
  <si>
    <t xml:space="preserve">Per supply pin </t>
  </si>
  <si>
    <r>
      <t>V</t>
    </r>
    <r>
      <rPr>
        <sz val="8"/>
        <color theme="1"/>
        <rFont val="Calibri"/>
        <family val="2"/>
        <scheme val="minor"/>
      </rPr>
      <t>DD</t>
    </r>
    <r>
      <rPr>
        <sz val="11"/>
        <color theme="1"/>
        <rFont val="Calibri"/>
        <family val="2"/>
        <scheme val="minor"/>
      </rPr>
      <t xml:space="preserve"> 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5V, 
D</t>
    </r>
    <r>
      <rPr>
        <sz val="8"/>
        <color theme="1"/>
        <rFont val="Calibri"/>
        <family val="2"/>
        <scheme val="minor"/>
      </rPr>
      <t>OUT</t>
    </r>
    <r>
      <rPr>
        <sz val="11"/>
        <color theme="1"/>
        <rFont val="Calibri"/>
        <family val="2"/>
        <scheme val="minor"/>
      </rPr>
      <t xml:space="preserve"> unloaded
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V</t>
    </r>
    <r>
      <rPr>
        <sz val="8"/>
        <color theme="1"/>
        <rFont val="Calibri"/>
        <family val="2"/>
        <scheme val="minor"/>
      </rPr>
      <t>REF</t>
    </r>
    <r>
      <rPr>
        <sz val="11"/>
        <color theme="1"/>
        <rFont val="Calibri"/>
        <family val="2"/>
        <scheme val="minor"/>
      </rPr>
      <t xml:space="preserve"> = 2.7V, 
D</t>
    </r>
    <r>
      <rPr>
        <sz val="8"/>
        <color theme="1"/>
        <rFont val="Calibri"/>
        <family val="2"/>
        <scheme val="minor"/>
      </rPr>
      <t xml:space="preserve">OUT </t>
    </r>
    <r>
      <rPr>
        <sz val="11"/>
        <color theme="1"/>
        <rFont val="Calibri"/>
        <family val="2"/>
        <scheme val="minor"/>
      </rPr>
      <t>unloaded</t>
    </r>
  </si>
  <si>
    <t>LAMBDA62-8D</t>
  </si>
  <si>
    <r>
      <t>25°C, V</t>
    </r>
    <r>
      <rPr>
        <sz val="8"/>
        <color theme="1"/>
        <rFont val="Calibri"/>
        <family val="2"/>
        <scheme val="minor"/>
      </rPr>
      <t xml:space="preserve">DD </t>
    </r>
    <r>
      <rPr>
        <sz val="11"/>
        <color theme="1"/>
        <rFont val="Calibri"/>
        <family val="2"/>
        <scheme val="minor"/>
      </rPr>
      <t>= 3V</t>
    </r>
  </si>
  <si>
    <t>ICE40HX4K-TQ144</t>
  </si>
  <si>
    <t>1N4448HSW-7-F </t>
  </si>
  <si>
    <t>IS25LP032D-JNLE </t>
  </si>
  <si>
    <t>MCP1725-ADJ E/SN </t>
  </si>
  <si>
    <t>M20-6102045 </t>
  </si>
  <si>
    <t>MCSJK-3N-16.00-3.3-50-B </t>
  </si>
  <si>
    <t>HSMS-C170</t>
  </si>
  <si>
    <t>L77HDE15SD1CH4F</t>
  </si>
  <si>
    <t>Quiescent current</t>
  </si>
  <si>
    <t>W</t>
  </si>
  <si>
    <t xml:space="preserve">power </t>
  </si>
  <si>
    <t>P_3,3V</t>
  </si>
  <si>
    <t>P_1,2V</t>
  </si>
  <si>
    <t>mW</t>
  </si>
  <si>
    <t>standby power</t>
  </si>
  <si>
    <t>FRD Quad at 133MHz</t>
  </si>
  <si>
    <t xml:space="preserve"> IL = 0 mA, VIN = Note 1,
VOUT = 0.8V to 5.0V</t>
  </si>
  <si>
    <t>Supply Current</t>
  </si>
  <si>
    <t>P_2,6V</t>
  </si>
  <si>
    <t>P_5V</t>
  </si>
  <si>
    <r>
      <t>USB 2.0 FS, UART at 1-Mbps single channel, no GPIO switching at V</t>
    </r>
    <r>
      <rPr>
        <sz val="8"/>
        <color theme="1"/>
        <rFont val="Calibri"/>
        <family val="2"/>
        <scheme val="minor"/>
      </rPr>
      <t xml:space="preserve">CC </t>
    </r>
    <r>
      <rPr>
        <sz val="11"/>
        <color theme="1"/>
        <rFont val="Calibri"/>
        <family val="2"/>
        <scheme val="minor"/>
      </rPr>
      <t>= 5 V,       V</t>
    </r>
    <r>
      <rPr>
        <sz val="8"/>
        <color theme="1"/>
        <rFont val="Calibri"/>
        <family val="2"/>
        <scheme val="minor"/>
      </rPr>
      <t>CCIO</t>
    </r>
    <r>
      <rPr>
        <sz val="11"/>
        <color theme="1"/>
        <rFont val="Calibri"/>
        <family val="2"/>
        <scheme val="minor"/>
      </rPr>
      <t xml:space="preserve"> = 5 V</t>
    </r>
  </si>
  <si>
    <r>
      <rPr>
        <sz val="11"/>
        <color rgb="FFFF0000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   </t>
    </r>
  </si>
  <si>
    <t>P_3,7V</t>
  </si>
  <si>
    <t>4-Layer JC51-7 Standard Board, Natural Convection</t>
  </si>
  <si>
    <t>Theta_jar(Cº/W)</t>
  </si>
  <si>
    <t>Theta_jar(°C/W)</t>
  </si>
  <si>
    <t>ANALISIS ELECTRICO</t>
  </si>
  <si>
    <t>ANALISIS TÉRMICO</t>
  </si>
  <si>
    <t>ºc</t>
  </si>
  <si>
    <t>t_3,3V</t>
  </si>
  <si>
    <t>t_5V</t>
  </si>
  <si>
    <t>t_2,6V</t>
  </si>
  <si>
    <t>t_3,7V</t>
  </si>
  <si>
    <t>t_1,2V</t>
  </si>
  <si>
    <t>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</si>
</sst>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5" fillId="0" borderId="0" xfId="0" applyFont="1"/>
    <xf numFmtId="0" fontId="0" fillId="0" borderId="0" xfId="0" applyAlignment="1">
      <alignment horizontal="left" wrapText="1"/>
    </xf>
    <xf numFmtId="0" fontId="6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5" fillId="0" borderId="0" xfId="0" applyFont="1" applyAlignment="1">
      <alignment vertical="top"/>
    </xf>
    <xf numFmtId="0" fontId="0" fillId="0" borderId="0" xfId="0" applyAlignment="1"/>
    <xf numFmtId="1" fontId="6" fillId="0" borderId="0" xfId="0" applyNumberFormat="1" applyFont="1" applyAlignment="1">
      <alignment horizontal="left"/>
    </xf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wrapText="1"/>
    </xf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H18"/>
  <sheetViews>
    <sheetView workbookViewId="0">
      <selection activeCell="H21" sqref="H21"/>
    </sheetView>
  </sheetViews>
  <sheetFormatPr baseColWidth="10" defaultRowHeight="15" x14ac:dyDescent="0.25"/>
  <cols>
    <col min="3" max="3" width="20.42578125" customWidth="1"/>
    <col min="6" max="6" width="19.140625" customWidth="1"/>
  </cols>
  <sheetData>
    <row r="9" spans="3:8" x14ac:dyDescent="0.25">
      <c r="C9" t="s">
        <v>58</v>
      </c>
      <c r="F9" t="s">
        <v>59</v>
      </c>
    </row>
    <row r="12" spans="3:8" x14ac:dyDescent="0.25">
      <c r="C12" s="1" t="s">
        <v>43</v>
      </c>
      <c r="D12">
        <f>'PCB0.Alim_Prog_USB'!D15+'PCB1.FPGA'!C16+'PCB2.Sensores'!D13+'PCB3.Antena en PCB'!E6</f>
        <v>4.7699743000000003</v>
      </c>
      <c r="E12" t="s">
        <v>41</v>
      </c>
      <c r="F12" s="1" t="s">
        <v>61</v>
      </c>
      <c r="G12">
        <f>'PCB0.Alim_Prog_USB'!M15+'PCB1.FPGA'!M17+'PCB2.Sensores'!L14+'PCB3.Antena en PCB'!K7</f>
        <v>140.01481819</v>
      </c>
      <c r="H12" t="s">
        <v>60</v>
      </c>
    </row>
    <row r="13" spans="3:8" x14ac:dyDescent="0.25">
      <c r="C13" s="1" t="s">
        <v>51</v>
      </c>
      <c r="D13">
        <f>'PCB0.Alim_Prog_USB'!D14+'PCB2.Sensores'!D14</f>
        <v>0.10759000000000001</v>
      </c>
      <c r="E13" t="s">
        <v>41</v>
      </c>
      <c r="F13" s="1" t="s">
        <v>62</v>
      </c>
      <c r="G13">
        <f>'PCB0.Alim_Prog_USB'!M14+'PCB1.FPGA'!M16+'PCB2.Sensores'!L13</f>
        <v>1.7305799999999998</v>
      </c>
      <c r="H13" t="s">
        <v>60</v>
      </c>
    </row>
    <row r="14" spans="3:8" x14ac:dyDescent="0.25">
      <c r="C14" s="1" t="s">
        <v>50</v>
      </c>
      <c r="D14">
        <f>'PCB0.Alim_Prog_USB'!D16+'PCB1.FPGA'!C18+'PCB2.Sensores'!D15</f>
        <v>5.2000000000000005E-2</v>
      </c>
      <c r="E14" t="s">
        <v>41</v>
      </c>
      <c r="F14" s="1" t="s">
        <v>63</v>
      </c>
      <c r="G14">
        <f>'PCB0.Alim_Prog_USB'!M16+'PCB1.FPGA'!M18+'PCB2.Sensores'!L15</f>
        <v>13.000000000000002</v>
      </c>
      <c r="H14" t="s">
        <v>60</v>
      </c>
    </row>
    <row r="15" spans="3:8" x14ac:dyDescent="0.25">
      <c r="C15" s="1" t="s">
        <v>54</v>
      </c>
      <c r="D15">
        <f>'PCB0.Alim_Prog_USB'!D17</f>
        <v>0</v>
      </c>
      <c r="E15" t="s">
        <v>41</v>
      </c>
      <c r="F15" s="1" t="s">
        <v>64</v>
      </c>
      <c r="G15">
        <f>'PCB0.Alim_Prog_USB'!M17+'PCB1.FPGA'!M19+'PCB2.Sensores'!L16</f>
        <v>0</v>
      </c>
      <c r="H15" t="s">
        <v>60</v>
      </c>
    </row>
    <row r="16" spans="3:8" x14ac:dyDescent="0.25">
      <c r="C16" s="1" t="s">
        <v>44</v>
      </c>
      <c r="D16">
        <f>'PCB1.FPGA'!C17</f>
        <v>2.5199999999999999E-5</v>
      </c>
      <c r="E16" t="s">
        <v>41</v>
      </c>
      <c r="F16" s="1" t="s">
        <v>65</v>
      </c>
      <c r="G16">
        <f>'PCB1.FPGA'!M20+'PCB2.Sensores'!L17</f>
        <v>9.6515999999999995E-4</v>
      </c>
      <c r="H16" t="s">
        <v>60</v>
      </c>
    </row>
    <row r="18" spans="3:8" x14ac:dyDescent="0.25">
      <c r="C18" s="1" t="s">
        <v>0</v>
      </c>
      <c r="D18" s="1">
        <f>SUM(D12:D16)</f>
        <v>4.9295894999999996</v>
      </c>
      <c r="E18" s="1" t="s">
        <v>41</v>
      </c>
      <c r="F18" s="1" t="s">
        <v>0</v>
      </c>
      <c r="G18" s="1">
        <f>SUM(G12:G16)</f>
        <v>154.74636335</v>
      </c>
      <c r="H18" s="1" t="s">
        <v>60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tabSelected="1" zoomScaleNormal="100" workbookViewId="0">
      <selection activeCell="D7" sqref="D7"/>
    </sheetView>
  </sheetViews>
  <sheetFormatPr baseColWidth="10" defaultRowHeight="15" x14ac:dyDescent="0.25"/>
  <cols>
    <col min="1" max="1" width="22.5703125" customWidth="1"/>
    <col min="2" max="2" width="27" customWidth="1"/>
    <col min="3" max="3" width="12.85546875" customWidth="1"/>
    <col min="4" max="4" width="13.28515625" customWidth="1"/>
    <col min="5" max="5" width="11.5703125" customWidth="1"/>
    <col min="7" max="7" width="21.5703125" customWidth="1"/>
    <col min="8" max="8" width="20.140625" customWidth="1"/>
    <col min="9" max="9" width="23.7109375" customWidth="1"/>
    <col min="10" max="10" width="26.42578125" customWidth="1"/>
    <col min="11" max="11" width="14.85546875" customWidth="1"/>
    <col min="12" max="12" width="14.7109375" customWidth="1"/>
    <col min="13" max="13" width="18.42578125" customWidth="1"/>
    <col min="14" max="14" width="18.140625" customWidth="1"/>
  </cols>
  <sheetData>
    <row r="1" spans="1:16" x14ac:dyDescent="0.25">
      <c r="A1" s="1" t="s">
        <v>1</v>
      </c>
      <c r="B1" s="1"/>
      <c r="C1" s="1"/>
      <c r="D1" s="1"/>
      <c r="E1" s="1"/>
      <c r="F1" s="1"/>
      <c r="H1" s="1"/>
      <c r="I1" s="1" t="s">
        <v>7</v>
      </c>
    </row>
    <row r="2" spans="1:16" x14ac:dyDescent="0.25">
      <c r="A2" s="1"/>
      <c r="B2" s="1"/>
      <c r="C2" s="1"/>
      <c r="D2" s="1"/>
      <c r="E2" s="1"/>
      <c r="F2" s="1"/>
    </row>
    <row r="3" spans="1:16" x14ac:dyDescent="0.25">
      <c r="A3" s="1" t="s">
        <v>2</v>
      </c>
      <c r="B3" s="1" t="s">
        <v>3</v>
      </c>
      <c r="C3" s="1" t="s">
        <v>4</v>
      </c>
      <c r="D3" s="1" t="s">
        <v>16</v>
      </c>
      <c r="E3" s="1" t="s">
        <v>5</v>
      </c>
      <c r="F3" s="1"/>
      <c r="G3" s="5"/>
      <c r="H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56</v>
      </c>
      <c r="N3" s="1" t="s">
        <v>11</v>
      </c>
    </row>
    <row r="4" spans="1:16" ht="30.75" customHeight="1" x14ac:dyDescent="0.25">
      <c r="A4" t="s">
        <v>12</v>
      </c>
      <c r="B4" t="s">
        <v>17</v>
      </c>
      <c r="C4" s="3">
        <v>5</v>
      </c>
      <c r="D4">
        <v>1500</v>
      </c>
      <c r="E4">
        <f>C4*D4*(10^(-6))</f>
        <v>7.4999999999999997E-3</v>
      </c>
      <c r="G4" s="4"/>
      <c r="I4" t="s">
        <v>12</v>
      </c>
      <c r="J4" t="str">
        <f>B4</f>
        <v xml:space="preserve">Charging </v>
      </c>
      <c r="K4">
        <f>E4</f>
        <v>7.4999999999999997E-3</v>
      </c>
      <c r="M4">
        <v>230</v>
      </c>
      <c r="N4">
        <f>K4*M4</f>
        <v>1.7249999999999999</v>
      </c>
    </row>
    <row r="5" spans="1:16" ht="30.75" customHeight="1" x14ac:dyDescent="0.25">
      <c r="C5" s="3"/>
      <c r="G5" s="4"/>
      <c r="J5" s="8" t="s">
        <v>55</v>
      </c>
      <c r="N5">
        <f t="shared" ref="N5:N9" si="0">K5*M5</f>
        <v>0</v>
      </c>
    </row>
    <row r="6" spans="1:16" ht="31.5" customHeight="1" x14ac:dyDescent="0.25">
      <c r="A6" s="6" t="s">
        <v>13</v>
      </c>
      <c r="B6" s="7" t="s">
        <v>18</v>
      </c>
      <c r="C6" s="2">
        <v>3.3</v>
      </c>
      <c r="D6">
        <v>5000</v>
      </c>
      <c r="E6">
        <f>(5-3.3)*(500000)/10^6</f>
        <v>0.85000000000000009</v>
      </c>
      <c r="I6" s="24" t="s">
        <v>13</v>
      </c>
      <c r="J6" s="25" t="str">
        <f>B6</f>
        <v xml:space="preserve">IL = 0 mA, VIN = Note 1             VOUT = 0.8V to 5.0V </v>
      </c>
      <c r="K6" s="21">
        <f t="shared" ref="K6:K9" si="1">E6</f>
        <v>0.85000000000000009</v>
      </c>
      <c r="L6" s="21"/>
      <c r="M6" s="21">
        <v>163</v>
      </c>
      <c r="N6" s="21">
        <f t="shared" si="0"/>
        <v>138.55000000000001</v>
      </c>
    </row>
    <row r="7" spans="1:16" ht="65.25" customHeight="1" x14ac:dyDescent="0.25">
      <c r="A7" s="10" t="s">
        <v>14</v>
      </c>
      <c r="B7" s="11" t="s">
        <v>52</v>
      </c>
      <c r="C7" s="2">
        <v>5</v>
      </c>
      <c r="D7">
        <v>18</v>
      </c>
      <c r="E7">
        <f t="shared" ref="E6:E7" si="2">C7*D7*(10^(-6))</f>
        <v>8.9999999999999992E-5</v>
      </c>
      <c r="I7" s="10" t="s">
        <v>14</v>
      </c>
      <c r="J7" s="7" t="str">
        <f t="shared" ref="J7:J8" si="3">B7</f>
        <v>USB 2.0 FS, UART at 1-Mbps single channel, no GPIO switching at VCC = 5 V,       VCCIO = 5 V</v>
      </c>
      <c r="K7">
        <f t="shared" si="1"/>
        <v>8.9999999999999992E-5</v>
      </c>
      <c r="M7">
        <v>62</v>
      </c>
      <c r="N7">
        <f t="shared" si="0"/>
        <v>5.5799999999999999E-3</v>
      </c>
    </row>
    <row r="8" spans="1:16" s="8" customFormat="1" ht="18" customHeight="1" x14ac:dyDescent="0.25">
      <c r="A8" t="s">
        <v>15</v>
      </c>
      <c r="B8" t="s">
        <v>28</v>
      </c>
      <c r="C8" s="2">
        <v>3.3</v>
      </c>
      <c r="D8" s="2">
        <v>3000</v>
      </c>
      <c r="E8">
        <f>C8*D8*(10^(-6))</f>
        <v>9.8999999999999991E-3</v>
      </c>
      <c r="F8"/>
      <c r="G8"/>
      <c r="H8"/>
      <c r="I8" s="22" t="s">
        <v>15</v>
      </c>
      <c r="J8" s="22" t="str">
        <f t="shared" si="3"/>
        <v xml:space="preserve">Per supply pin </v>
      </c>
      <c r="K8" s="22">
        <f t="shared" si="1"/>
        <v>9.8999999999999991E-3</v>
      </c>
      <c r="L8" s="23"/>
      <c r="M8" s="23">
        <v>115.2</v>
      </c>
      <c r="N8" s="22">
        <f>K8*M8</f>
        <v>1.1404799999999999</v>
      </c>
      <c r="P8" s="17"/>
    </row>
    <row r="9" spans="1:16" ht="15" customHeight="1" x14ac:dyDescent="0.25">
      <c r="C9" s="2"/>
      <c r="J9" s="4"/>
      <c r="K9" s="4"/>
      <c r="L9" s="4"/>
      <c r="M9" s="4"/>
      <c r="N9" s="4"/>
      <c r="O9" s="4"/>
    </row>
    <row r="11" spans="1:16" x14ac:dyDescent="0.25">
      <c r="D11" s="1"/>
    </row>
    <row r="14" spans="1:16" x14ac:dyDescent="0.25">
      <c r="C14" s="1" t="s">
        <v>51</v>
      </c>
      <c r="D14" s="1">
        <f>SUMIFS(E$4:E$13,C$4:C$13,"5")</f>
        <v>7.5899999999999995E-3</v>
      </c>
      <c r="E14" s="1" t="s">
        <v>41</v>
      </c>
      <c r="L14" s="1" t="s">
        <v>51</v>
      </c>
      <c r="M14" s="1">
        <f>SUMIFS(N$4:N$13,C$4:C$13,"5")</f>
        <v>1.7305799999999998</v>
      </c>
      <c r="N14" t="s">
        <v>60</v>
      </c>
    </row>
    <row r="15" spans="1:16" x14ac:dyDescent="0.25">
      <c r="C15" s="1" t="s">
        <v>43</v>
      </c>
      <c r="D15" s="1">
        <f>SUMIFS(E$4:E$13,C$4:C$13,"3,3")</f>
        <v>0.85990000000000011</v>
      </c>
      <c r="E15" s="1" t="s">
        <v>41</v>
      </c>
      <c r="L15" s="1" t="s">
        <v>43</v>
      </c>
      <c r="M15" s="1">
        <f>SUMIFS(N$4:N$13,C$4:C$13,"3,3")</f>
        <v>139.69048000000001</v>
      </c>
      <c r="N15" t="s">
        <v>60</v>
      </c>
    </row>
    <row r="16" spans="1:16" x14ac:dyDescent="0.25">
      <c r="C16" s="1" t="s">
        <v>50</v>
      </c>
      <c r="D16" s="1">
        <f>SUMIFS(E$4:E$13,C$4:C$13,"2,6")</f>
        <v>0</v>
      </c>
      <c r="E16" s="1" t="s">
        <v>41</v>
      </c>
      <c r="G16" t="s">
        <v>53</v>
      </c>
      <c r="L16" s="1" t="s">
        <v>50</v>
      </c>
      <c r="M16" s="1">
        <f>SUMIFS(N$4:N$13,C$4:C$13,"2,6")</f>
        <v>0</v>
      </c>
      <c r="N16" t="s">
        <v>60</v>
      </c>
    </row>
    <row r="17" spans="1:14" x14ac:dyDescent="0.25">
      <c r="C17" s="1" t="s">
        <v>54</v>
      </c>
      <c r="D17" s="1">
        <f>E9</f>
        <v>0</v>
      </c>
      <c r="E17" s="1" t="s">
        <v>41</v>
      </c>
      <c r="L17" s="1" t="s">
        <v>54</v>
      </c>
      <c r="M17" s="1">
        <f>SUMIFS(N$4:N$13,C$4:C$13,"3,7")</f>
        <v>0</v>
      </c>
      <c r="N17" t="s">
        <v>60</v>
      </c>
    </row>
    <row r="18" spans="1:14" x14ac:dyDescent="0.25">
      <c r="C18" s="1" t="s">
        <v>0</v>
      </c>
      <c r="D18" s="1">
        <f>SUM(D14:D17)</f>
        <v>0.86749000000000009</v>
      </c>
      <c r="E18" s="1" t="s">
        <v>41</v>
      </c>
      <c r="L18" s="1" t="s">
        <v>0</v>
      </c>
      <c r="M18" s="1">
        <f>SUM(M14:M17)</f>
        <v>141.42106000000001</v>
      </c>
      <c r="N18" t="s">
        <v>60</v>
      </c>
    </row>
    <row r="19" spans="1:14" x14ac:dyDescent="0.25">
      <c r="D19" s="1">
        <f>D18*1000</f>
        <v>867.49000000000012</v>
      </c>
      <c r="E19" s="1" t="s">
        <v>45</v>
      </c>
    </row>
    <row r="21" spans="1:14" x14ac:dyDescent="0.25">
      <c r="A21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zoomScale="115" zoomScaleNormal="115" workbookViewId="0">
      <selection activeCell="I20" sqref="I20"/>
    </sheetView>
  </sheetViews>
  <sheetFormatPr baseColWidth="10" defaultRowHeight="15" x14ac:dyDescent="0.25"/>
  <cols>
    <col min="1" max="1" width="28.5703125" customWidth="1"/>
    <col min="2" max="2" width="18.7109375" customWidth="1"/>
    <col min="9" max="9" width="22" customWidth="1"/>
    <col min="10" max="10" width="23.42578125" customWidth="1"/>
    <col min="13" max="13" width="17" customWidth="1"/>
    <col min="14" max="14" width="17.14062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57</v>
      </c>
      <c r="N3" s="1" t="s">
        <v>11</v>
      </c>
      <c r="O3" s="1"/>
    </row>
    <row r="4" spans="1:15" x14ac:dyDescent="0.25">
      <c r="A4" t="s">
        <v>32</v>
      </c>
      <c r="B4" t="s">
        <v>46</v>
      </c>
      <c r="C4">
        <v>3.3</v>
      </c>
      <c r="D4">
        <f>21*10^(-6)</f>
        <v>2.0999999999999999E-5</v>
      </c>
      <c r="E4">
        <f>C4*D4</f>
        <v>6.929999999999999E-5</v>
      </c>
      <c r="I4" t="str">
        <f>A4</f>
        <v>ICE40HX4K-TQ144</v>
      </c>
      <c r="J4" t="str">
        <f>B4</f>
        <v>standby power</v>
      </c>
      <c r="K4">
        <f t="shared" ref="K4:K13" si="0">E4</f>
        <v>6.929999999999999E-5</v>
      </c>
      <c r="M4">
        <v>38.299999999999997</v>
      </c>
      <c r="N4">
        <f>K4*M4</f>
        <v>2.6541899999999994E-3</v>
      </c>
    </row>
    <row r="5" spans="1:15" x14ac:dyDescent="0.25">
      <c r="A5" t="s">
        <v>32</v>
      </c>
      <c r="B5" t="s">
        <v>42</v>
      </c>
      <c r="C5">
        <v>1.2</v>
      </c>
      <c r="D5">
        <f>21*10^(-6)</f>
        <v>2.0999999999999999E-5</v>
      </c>
      <c r="E5">
        <f t="shared" ref="E5:E13" si="1">C5*D5</f>
        <v>2.5199999999999999E-5</v>
      </c>
      <c r="I5" t="str">
        <f>A5</f>
        <v>ICE40HX4K-TQ144</v>
      </c>
      <c r="J5" t="str">
        <f>B5</f>
        <v xml:space="preserve">power </v>
      </c>
      <c r="K5">
        <f t="shared" si="0"/>
        <v>2.5199999999999999E-5</v>
      </c>
      <c r="M5">
        <v>38.299999999999997</v>
      </c>
      <c r="N5">
        <f t="shared" ref="N5:N12" si="2">K5*M5</f>
        <v>9.6515999999999995E-4</v>
      </c>
    </row>
    <row r="6" spans="1:15" x14ac:dyDescent="0.25">
      <c r="A6" s="12" t="s">
        <v>33</v>
      </c>
      <c r="C6">
        <v>3.3</v>
      </c>
      <c r="D6">
        <v>1.0000000000000001E-5</v>
      </c>
      <c r="E6">
        <f t="shared" si="1"/>
        <v>3.3000000000000003E-5</v>
      </c>
      <c r="I6" t="str">
        <f t="shared" ref="I6:I13" si="3">A6</f>
        <v>1N4448HSW-7-F </v>
      </c>
      <c r="K6">
        <f t="shared" si="0"/>
        <v>3.3000000000000003E-5</v>
      </c>
      <c r="M6">
        <v>222</v>
      </c>
      <c r="N6">
        <f t="shared" si="2"/>
        <v>7.3260000000000009E-3</v>
      </c>
    </row>
    <row r="7" spans="1:15" x14ac:dyDescent="0.25">
      <c r="A7" s="12" t="s">
        <v>34</v>
      </c>
      <c r="B7" t="s">
        <v>47</v>
      </c>
      <c r="C7">
        <v>3.3</v>
      </c>
      <c r="D7">
        <f>17*10^(-3)</f>
        <v>1.7000000000000001E-2</v>
      </c>
      <c r="E7">
        <f t="shared" si="1"/>
        <v>5.6100000000000004E-2</v>
      </c>
      <c r="I7" t="str">
        <f t="shared" si="3"/>
        <v>IS25LP032D-JNLE </v>
      </c>
      <c r="J7" t="str">
        <f>B7</f>
        <v>FRD Quad at 133MHz</v>
      </c>
      <c r="K7">
        <f t="shared" si="0"/>
        <v>5.6100000000000004E-2</v>
      </c>
      <c r="N7">
        <f t="shared" si="2"/>
        <v>0</v>
      </c>
    </row>
    <row r="8" spans="1:15" ht="45" x14ac:dyDescent="0.25">
      <c r="A8" s="18" t="s">
        <v>35</v>
      </c>
      <c r="B8" s="7" t="s">
        <v>48</v>
      </c>
      <c r="C8">
        <v>3.3</v>
      </c>
      <c r="D8">
        <f>220*10^(-6)</f>
        <v>2.1999999999999998E-4</v>
      </c>
      <c r="E8">
        <f t="shared" si="1"/>
        <v>7.2599999999999987E-4</v>
      </c>
      <c r="I8" s="6" t="str">
        <f t="shared" si="3"/>
        <v>MCP1725-ADJ E/SN </v>
      </c>
      <c r="J8" s="7" t="str">
        <f>B8</f>
        <v xml:space="preserve"> IL = 0 mA, VIN = Note 1,
VOUT = 0.8V to 5.0V</v>
      </c>
      <c r="K8">
        <f t="shared" si="0"/>
        <v>7.2599999999999987E-4</v>
      </c>
      <c r="M8" s="19">
        <v>163</v>
      </c>
      <c r="N8">
        <f t="shared" si="2"/>
        <v>0.11833799999999998</v>
      </c>
    </row>
    <row r="9" spans="1:15" x14ac:dyDescent="0.25">
      <c r="A9" s="14" t="s">
        <v>36</v>
      </c>
      <c r="C9">
        <v>0</v>
      </c>
      <c r="D9">
        <v>0</v>
      </c>
      <c r="E9">
        <f t="shared" si="1"/>
        <v>0</v>
      </c>
      <c r="I9" s="4" t="str">
        <f t="shared" si="3"/>
        <v>M20-6102045 </v>
      </c>
      <c r="J9" s="4"/>
      <c r="K9" s="4">
        <f t="shared" si="0"/>
        <v>0</v>
      </c>
      <c r="L9" s="4"/>
      <c r="N9">
        <f t="shared" si="2"/>
        <v>0</v>
      </c>
    </row>
    <row r="10" spans="1:15" x14ac:dyDescent="0.25">
      <c r="A10" s="20">
        <v>109296002381906</v>
      </c>
      <c r="C10">
        <v>0</v>
      </c>
      <c r="D10">
        <v>0</v>
      </c>
      <c r="E10">
        <f t="shared" si="1"/>
        <v>0</v>
      </c>
      <c r="I10" s="20">
        <v>109296002381906</v>
      </c>
      <c r="J10" s="4"/>
      <c r="K10" s="4">
        <f t="shared" si="0"/>
        <v>0</v>
      </c>
      <c r="L10" s="4"/>
      <c r="N10">
        <f t="shared" si="2"/>
        <v>0</v>
      </c>
    </row>
    <row r="11" spans="1:15" x14ac:dyDescent="0.25">
      <c r="A11" s="12" t="s">
        <v>37</v>
      </c>
      <c r="B11" t="s">
        <v>49</v>
      </c>
      <c r="C11">
        <v>3.3</v>
      </c>
      <c r="D11">
        <f>15*10^(-3)</f>
        <v>1.4999999999999999E-2</v>
      </c>
      <c r="E11">
        <f t="shared" si="1"/>
        <v>4.9499999999999995E-2</v>
      </c>
      <c r="I11" t="str">
        <f t="shared" si="3"/>
        <v>MCSJK-3N-16.00-3.3-50-B </v>
      </c>
      <c r="J11" t="str">
        <f>B11</f>
        <v>Supply Current</v>
      </c>
      <c r="K11">
        <f t="shared" si="0"/>
        <v>4.9499999999999995E-2</v>
      </c>
      <c r="N11">
        <f t="shared" si="2"/>
        <v>0</v>
      </c>
    </row>
    <row r="12" spans="1:15" x14ac:dyDescent="0.25">
      <c r="A12" t="s">
        <v>38</v>
      </c>
      <c r="C12">
        <v>2.6</v>
      </c>
      <c r="D12">
        <f>20*10^(-3)</f>
        <v>0.02</v>
      </c>
      <c r="E12">
        <f t="shared" si="1"/>
        <v>5.2000000000000005E-2</v>
      </c>
      <c r="H12" s="4"/>
      <c r="I12" s="22" t="str">
        <f t="shared" si="3"/>
        <v>HSMS-C170</v>
      </c>
      <c r="J12" s="22"/>
      <c r="K12" s="22">
        <f t="shared" si="0"/>
        <v>5.2000000000000005E-2</v>
      </c>
      <c r="L12" s="22"/>
      <c r="M12" s="22">
        <v>250</v>
      </c>
      <c r="N12" s="22">
        <f t="shared" si="2"/>
        <v>13.000000000000002</v>
      </c>
    </row>
    <row r="13" spans="1:15" x14ac:dyDescent="0.25">
      <c r="A13" s="4" t="s">
        <v>39</v>
      </c>
      <c r="C13">
        <v>0</v>
      </c>
      <c r="D13">
        <v>0</v>
      </c>
      <c r="E13">
        <f t="shared" si="1"/>
        <v>0</v>
      </c>
      <c r="H13" s="4"/>
      <c r="I13" s="4" t="str">
        <f t="shared" si="3"/>
        <v>L77HDE15SD1CH4F</v>
      </c>
      <c r="J13" s="4"/>
      <c r="K13" s="4">
        <f t="shared" si="0"/>
        <v>0</v>
      </c>
      <c r="L13" s="4"/>
    </row>
    <row r="16" spans="1:15" x14ac:dyDescent="0.25">
      <c r="B16" s="1" t="s">
        <v>43</v>
      </c>
      <c r="C16" s="1">
        <f>SUMIFS(E$4:E$13,C$4:C$13,"3,3")</f>
        <v>0.1064283</v>
      </c>
      <c r="D16" s="1" t="s">
        <v>41</v>
      </c>
      <c r="H16" s="4"/>
      <c r="L16" s="1" t="s">
        <v>51</v>
      </c>
      <c r="M16">
        <f>SUMIFS(N$4:N$13,C$4:C$13,"5")</f>
        <v>0</v>
      </c>
      <c r="N16" s="1" t="s">
        <v>66</v>
      </c>
    </row>
    <row r="17" spans="2:14" x14ac:dyDescent="0.25">
      <c r="B17" s="1" t="s">
        <v>44</v>
      </c>
      <c r="C17" s="1">
        <f>SUMIFS(E$4:E$13,C$4:C$13,"1,2")</f>
        <v>2.5199999999999999E-5</v>
      </c>
      <c r="D17" s="1" t="s">
        <v>41</v>
      </c>
      <c r="L17" s="1" t="s">
        <v>43</v>
      </c>
      <c r="M17">
        <f>SUMIFS(N$4:N$13,C$4:C$13,"3,3")</f>
        <v>0.12831819</v>
      </c>
      <c r="N17" s="1" t="s">
        <v>66</v>
      </c>
    </row>
    <row r="18" spans="2:14" x14ac:dyDescent="0.25">
      <c r="B18" s="1" t="s">
        <v>50</v>
      </c>
      <c r="C18" s="1">
        <f>SUMIFS(E$4:E$13,C$4:C$13,"2,6")</f>
        <v>5.2000000000000005E-2</v>
      </c>
      <c r="D18" s="1" t="s">
        <v>41</v>
      </c>
      <c r="L18" s="1" t="s">
        <v>50</v>
      </c>
      <c r="M18">
        <f>SUMIFS(N$4:N$13,C$4:C$13,"2,6")</f>
        <v>13.000000000000002</v>
      </c>
      <c r="N18" s="1" t="s">
        <v>66</v>
      </c>
    </row>
    <row r="19" spans="2:14" x14ac:dyDescent="0.25">
      <c r="L19" s="1" t="s">
        <v>54</v>
      </c>
      <c r="M19">
        <f>SUMIFS(N$4:N$13,C$4:C$13,"3,7")</f>
        <v>0</v>
      </c>
      <c r="N19" s="1" t="s">
        <v>66</v>
      </c>
    </row>
    <row r="20" spans="2:14" x14ac:dyDescent="0.25">
      <c r="B20" s="1" t="s">
        <v>0</v>
      </c>
      <c r="C20" s="1">
        <f>SUM(C16:C18)</f>
        <v>0.15845350000000002</v>
      </c>
      <c r="D20" s="1" t="s">
        <v>41</v>
      </c>
      <c r="L20" s="1" t="s">
        <v>44</v>
      </c>
      <c r="M20">
        <f>SUMIFS(N$4:N$13,C$4:C$13,"1,2")</f>
        <v>9.6515999999999995E-4</v>
      </c>
      <c r="N20" s="1" t="s">
        <v>66</v>
      </c>
    </row>
    <row r="21" spans="2:14" x14ac:dyDescent="0.25">
      <c r="C21" s="1">
        <f>C20*1000</f>
        <v>158.45350000000002</v>
      </c>
      <c r="D21" s="1" t="s">
        <v>45</v>
      </c>
    </row>
    <row r="23" spans="2:14" x14ac:dyDescent="0.25">
      <c r="L23" s="1" t="s">
        <v>0</v>
      </c>
      <c r="M23" s="1">
        <f>SUM(M16:M20)</f>
        <v>13.129283350000001</v>
      </c>
      <c r="N23" s="1" t="s">
        <v>66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zoomScale="86" workbookViewId="0">
      <selection activeCell="H20" sqref="H20"/>
    </sheetView>
  </sheetViews>
  <sheetFormatPr baseColWidth="10" defaultRowHeight="15" x14ac:dyDescent="0.25"/>
  <cols>
    <col min="1" max="1" width="18.7109375" customWidth="1"/>
    <col min="2" max="2" width="20.7109375" customWidth="1"/>
    <col min="3" max="3" width="14.42578125" customWidth="1"/>
    <col min="4" max="4" width="15.28515625" customWidth="1"/>
    <col min="5" max="5" width="14" customWidth="1"/>
    <col min="9" max="9" width="20" customWidth="1"/>
    <col min="10" max="10" width="18.42578125" customWidth="1"/>
    <col min="14" max="14" width="17.85546875" customWidth="1"/>
  </cols>
  <sheetData>
    <row r="1" spans="1:15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5" x14ac:dyDescent="0.25">
      <c r="A2" s="1"/>
      <c r="B2" s="1"/>
      <c r="C2" s="1"/>
      <c r="D2" s="1"/>
      <c r="E2" s="1"/>
      <c r="F2" s="1"/>
    </row>
    <row r="3" spans="1:15" x14ac:dyDescent="0.25">
      <c r="A3" s="1" t="s">
        <v>2</v>
      </c>
      <c r="B3" s="1" t="s">
        <v>3</v>
      </c>
      <c r="C3" s="1" t="s">
        <v>4</v>
      </c>
      <c r="D3" s="1" t="s">
        <v>27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5" x14ac:dyDescent="0.25">
      <c r="A4" s="10" t="s">
        <v>20</v>
      </c>
      <c r="B4" s="10"/>
      <c r="C4" s="2">
        <v>3.3</v>
      </c>
      <c r="D4">
        <v>100</v>
      </c>
      <c r="E4">
        <f>(C4*D4)/1000</f>
        <v>0.33</v>
      </c>
      <c r="I4" s="4" t="str">
        <f>A4</f>
        <v>TEL0132 </v>
      </c>
      <c r="J4" s="4"/>
      <c r="K4" s="4">
        <f>E4</f>
        <v>0.33</v>
      </c>
      <c r="L4" s="4"/>
      <c r="M4" s="4"/>
      <c r="N4" s="4"/>
      <c r="O4" s="4"/>
    </row>
    <row r="5" spans="1:15" x14ac:dyDescent="0.25">
      <c r="A5" s="13" t="s">
        <v>21</v>
      </c>
      <c r="B5" s="9"/>
      <c r="C5" s="2">
        <v>3.3</v>
      </c>
      <c r="D5">
        <v>12</v>
      </c>
      <c r="E5">
        <f t="shared" ref="E5:E10" si="0">(C5*D5)/1000</f>
        <v>3.9599999999999996E-2</v>
      </c>
      <c r="I5" s="4" t="str">
        <f t="shared" ref="I5:I10" si="1">A5</f>
        <v>BME680 </v>
      </c>
      <c r="K5">
        <f t="shared" ref="K5:K10" si="2">E5</f>
        <v>3.9599999999999996E-2</v>
      </c>
    </row>
    <row r="6" spans="1:15" x14ac:dyDescent="0.25">
      <c r="A6" t="s">
        <v>22</v>
      </c>
      <c r="B6" t="s">
        <v>31</v>
      </c>
      <c r="C6" s="2">
        <v>3.3</v>
      </c>
      <c r="D6">
        <v>240</v>
      </c>
      <c r="E6">
        <f t="shared" si="0"/>
        <v>0.79200000000000004</v>
      </c>
      <c r="I6" s="4" t="str">
        <f t="shared" si="1"/>
        <v>MS860702BA01-50</v>
      </c>
      <c r="J6" t="str">
        <f t="shared" ref="J6:J9" si="3">B6</f>
        <v>25°C, VDD = 3V</v>
      </c>
      <c r="K6">
        <f t="shared" si="2"/>
        <v>0.79200000000000004</v>
      </c>
    </row>
    <row r="7" spans="1:15" x14ac:dyDescent="0.25">
      <c r="A7" t="s">
        <v>23</v>
      </c>
      <c r="C7" s="2">
        <v>5</v>
      </c>
      <c r="D7">
        <v>20</v>
      </c>
      <c r="E7">
        <f t="shared" si="0"/>
        <v>0.1</v>
      </c>
      <c r="I7" s="4" t="str">
        <f t="shared" si="1"/>
        <v>GP2Y1010AU0F</v>
      </c>
      <c r="K7">
        <f t="shared" si="2"/>
        <v>0.1</v>
      </c>
    </row>
    <row r="8" spans="1:15" x14ac:dyDescent="0.25">
      <c r="A8" s="4" t="s">
        <v>24</v>
      </c>
      <c r="B8" s="4"/>
      <c r="C8" s="16">
        <v>5</v>
      </c>
      <c r="D8" s="4"/>
      <c r="E8" s="4">
        <f t="shared" si="0"/>
        <v>0</v>
      </c>
      <c r="F8" s="4"/>
      <c r="H8" s="4"/>
      <c r="I8" s="4" t="str">
        <f t="shared" si="1"/>
        <v>SEN0134 </v>
      </c>
      <c r="J8" s="4"/>
      <c r="K8" s="4">
        <f t="shared" si="2"/>
        <v>0</v>
      </c>
      <c r="L8" s="4"/>
    </row>
    <row r="9" spans="1:15" ht="60" x14ac:dyDescent="0.25">
      <c r="A9" s="13" t="s">
        <v>25</v>
      </c>
      <c r="B9" s="8" t="s">
        <v>29</v>
      </c>
      <c r="C9" s="2">
        <v>3.3</v>
      </c>
      <c r="D9" s="2">
        <v>0.55000000000000004</v>
      </c>
      <c r="E9">
        <f t="shared" si="0"/>
        <v>1.815E-3</v>
      </c>
      <c r="I9" t="str">
        <f t="shared" si="1"/>
        <v>MCP3004-I/SL </v>
      </c>
      <c r="J9" s="7" t="str">
        <f t="shared" si="3"/>
        <v>VDD = VREF = 5V, 
DOUT unloaded
VDD = VREF = 2.7V, 
DOUT unloaded</v>
      </c>
      <c r="K9">
        <f t="shared" si="2"/>
        <v>1.815E-3</v>
      </c>
      <c r="M9">
        <v>108</v>
      </c>
      <c r="N9">
        <f>K9*M9</f>
        <v>0.19602</v>
      </c>
    </row>
    <row r="10" spans="1:15" x14ac:dyDescent="0.25">
      <c r="A10" t="s">
        <v>26</v>
      </c>
      <c r="C10" s="2">
        <v>3.3</v>
      </c>
      <c r="D10">
        <v>800</v>
      </c>
      <c r="E10">
        <f t="shared" si="0"/>
        <v>2.64</v>
      </c>
      <c r="I10" s="4" t="str">
        <f t="shared" si="1"/>
        <v>XC9141B50DMR-G </v>
      </c>
      <c r="K10">
        <f t="shared" si="2"/>
        <v>2.64</v>
      </c>
    </row>
    <row r="11" spans="1:15" x14ac:dyDescent="0.25">
      <c r="A11" s="13"/>
      <c r="B11" s="13"/>
      <c r="C11" s="2"/>
    </row>
    <row r="13" spans="1:15" x14ac:dyDescent="0.25">
      <c r="A13" s="13"/>
      <c r="C13" s="1" t="s">
        <v>43</v>
      </c>
      <c r="D13" s="1">
        <f>SUMIFS(E$4:E$11,C$4:C$11,"3,3")</f>
        <v>3.8034150000000002</v>
      </c>
      <c r="E13" s="1" t="s">
        <v>41</v>
      </c>
      <c r="K13" s="1" t="s">
        <v>51</v>
      </c>
      <c r="L13">
        <f>SUMIFS(N$4:N$11,C$4:C$11,"5")</f>
        <v>0</v>
      </c>
      <c r="M13" t="s">
        <v>60</v>
      </c>
    </row>
    <row r="14" spans="1:15" x14ac:dyDescent="0.25">
      <c r="A14" s="13"/>
      <c r="C14" s="1" t="s">
        <v>51</v>
      </c>
      <c r="D14" s="1">
        <f>SUMIFS(E$4:E$11,C$4:C$11,"5,0")</f>
        <v>0.1</v>
      </c>
      <c r="E14" s="1" t="s">
        <v>41</v>
      </c>
      <c r="K14" s="1" t="s">
        <v>43</v>
      </c>
      <c r="L14">
        <f>SUMIFS(N$4:N$11,C$4:C$11,"3,3")</f>
        <v>0.19602</v>
      </c>
      <c r="M14" t="s">
        <v>60</v>
      </c>
    </row>
    <row r="15" spans="1:15" x14ac:dyDescent="0.25">
      <c r="A15" s="13"/>
      <c r="C15" s="1" t="s">
        <v>50</v>
      </c>
      <c r="D15" s="1">
        <f>SUMIFS(E$4:E$11,C$4:C$11,"2,6")</f>
        <v>0</v>
      </c>
      <c r="E15" s="1" t="s">
        <v>41</v>
      </c>
      <c r="K15" s="1" t="s">
        <v>50</v>
      </c>
      <c r="L15">
        <f>SUMIFS(N$4:N$11,C$4:C$11,"2,6")</f>
        <v>0</v>
      </c>
      <c r="M15" t="s">
        <v>60</v>
      </c>
    </row>
    <row r="16" spans="1:15" x14ac:dyDescent="0.25">
      <c r="A16" s="13"/>
      <c r="K16" s="1" t="s">
        <v>54</v>
      </c>
      <c r="L16">
        <f>SUMIFS(N$4:N$11,C$4:C$11,"3,7")</f>
        <v>0</v>
      </c>
      <c r="M16" t="s">
        <v>60</v>
      </c>
    </row>
    <row r="17" spans="3:13" x14ac:dyDescent="0.25">
      <c r="C17" s="1" t="s">
        <v>0</v>
      </c>
      <c r="D17" s="1">
        <f>SUM(D13:D15)</f>
        <v>3.9034150000000003</v>
      </c>
      <c r="E17" s="1" t="s">
        <v>41</v>
      </c>
      <c r="K17" s="1" t="s">
        <v>44</v>
      </c>
      <c r="L17">
        <f>SUMIFS(N$4:N$11,C$4:C$11,"1,2")</f>
        <v>0</v>
      </c>
      <c r="M17" t="s">
        <v>60</v>
      </c>
    </row>
    <row r="18" spans="3:13" x14ac:dyDescent="0.25">
      <c r="D18" s="1">
        <f>D17*1000</f>
        <v>3903.4150000000004</v>
      </c>
      <c r="E18" s="1" t="s">
        <v>45</v>
      </c>
    </row>
    <row r="19" spans="3:13" x14ac:dyDescent="0.25">
      <c r="C19" s="1"/>
      <c r="D19" s="1"/>
      <c r="E19" s="1"/>
    </row>
    <row r="20" spans="3:13" x14ac:dyDescent="0.25">
      <c r="C20" s="1"/>
      <c r="D20" s="1"/>
      <c r="E20" s="1"/>
      <c r="K20" s="1" t="s">
        <v>0</v>
      </c>
      <c r="L20">
        <f>SUM(L13:L17)</f>
        <v>0.19602</v>
      </c>
      <c r="M20" t="s">
        <v>60</v>
      </c>
    </row>
    <row r="21" spans="3:13" x14ac:dyDescent="0.25">
      <c r="C21" s="1"/>
      <c r="D21" s="1"/>
      <c r="E21" s="1"/>
    </row>
    <row r="23" spans="3:13" x14ac:dyDescent="0.25">
      <c r="C23" s="1"/>
      <c r="D23" s="1"/>
      <c r="E23" s="1"/>
    </row>
    <row r="24" spans="3:13" x14ac:dyDescent="0.25">
      <c r="D24" s="1"/>
      <c r="E24" s="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selection activeCell="K9" sqref="K9"/>
    </sheetView>
  </sheetViews>
  <sheetFormatPr baseColWidth="10" defaultRowHeight="15" x14ac:dyDescent="0.25"/>
  <cols>
    <col min="1" max="1" width="16.42578125" customWidth="1"/>
    <col min="2" max="2" width="21.7109375" customWidth="1"/>
    <col min="3" max="3" width="18.28515625" customWidth="1"/>
    <col min="4" max="5" width="15.5703125" customWidth="1"/>
    <col min="9" max="9" width="15.85546875" customWidth="1"/>
    <col min="10" max="10" width="16.5703125" customWidth="1"/>
    <col min="12" max="12" width="14.7109375" customWidth="1"/>
    <col min="14" max="14" width="17.5703125" customWidth="1"/>
  </cols>
  <sheetData>
    <row r="1" spans="1:14" x14ac:dyDescent="0.25">
      <c r="A1" s="1" t="s">
        <v>1</v>
      </c>
      <c r="B1" s="1"/>
      <c r="C1" s="1"/>
      <c r="D1" s="1"/>
      <c r="E1" s="1"/>
      <c r="F1" s="1"/>
      <c r="I1" s="1" t="s">
        <v>7</v>
      </c>
    </row>
    <row r="2" spans="1:14" x14ac:dyDescent="0.25">
      <c r="A2" s="1"/>
      <c r="B2" s="1"/>
      <c r="C2" s="1"/>
      <c r="D2" s="1"/>
      <c r="E2" s="1"/>
      <c r="F2" s="1"/>
    </row>
    <row r="3" spans="1:14" x14ac:dyDescent="0.25">
      <c r="A3" s="1" t="s">
        <v>2</v>
      </c>
      <c r="B3" s="1" t="s">
        <v>3</v>
      </c>
      <c r="C3" s="1" t="s">
        <v>4</v>
      </c>
      <c r="D3" s="1" t="s">
        <v>16</v>
      </c>
      <c r="E3" s="1" t="s">
        <v>5</v>
      </c>
      <c r="F3" s="1"/>
      <c r="I3" s="1" t="s">
        <v>2</v>
      </c>
      <c r="J3" s="1" t="s">
        <v>3</v>
      </c>
      <c r="K3" s="1" t="s">
        <v>8</v>
      </c>
      <c r="L3" s="1" t="s">
        <v>9</v>
      </c>
      <c r="M3" s="1" t="s">
        <v>10</v>
      </c>
      <c r="N3" s="1" t="s">
        <v>11</v>
      </c>
    </row>
    <row r="4" spans="1:14" x14ac:dyDescent="0.25">
      <c r="A4" t="s">
        <v>30</v>
      </c>
      <c r="B4" t="s">
        <v>40</v>
      </c>
      <c r="C4" s="3">
        <v>3.3</v>
      </c>
      <c r="D4">
        <f>70*10^(-6)</f>
        <v>6.9999999999999994E-5</v>
      </c>
      <c r="E4">
        <f>C4*D4</f>
        <v>2.3099999999999998E-4</v>
      </c>
      <c r="I4" t="str">
        <f>A4</f>
        <v>LAMBDA62-8D</v>
      </c>
      <c r="J4" t="str">
        <f>B4</f>
        <v>Quiescent current</v>
      </c>
      <c r="K4">
        <f>E4</f>
        <v>2.3099999999999998E-4</v>
      </c>
    </row>
    <row r="6" spans="1:14" x14ac:dyDescent="0.25">
      <c r="D6" s="1" t="s">
        <v>43</v>
      </c>
      <c r="E6" s="1">
        <f>E4</f>
        <v>2.3099999999999998E-4</v>
      </c>
      <c r="F6" s="1" t="s">
        <v>41</v>
      </c>
      <c r="J6" s="1"/>
    </row>
    <row r="7" spans="1:14" x14ac:dyDescent="0.25">
      <c r="D7" s="1" t="s">
        <v>0</v>
      </c>
      <c r="E7" s="1">
        <f>SUM(E4:E5)</f>
        <v>2.3099999999999998E-4</v>
      </c>
      <c r="F7" s="1" t="s">
        <v>41</v>
      </c>
      <c r="J7" s="1" t="s">
        <v>43</v>
      </c>
      <c r="K7">
        <f>N4</f>
        <v>0</v>
      </c>
      <c r="L7" t="s">
        <v>60</v>
      </c>
    </row>
    <row r="8" spans="1:14" x14ac:dyDescent="0.25">
      <c r="B8" s="2"/>
      <c r="C8" s="2"/>
      <c r="D8" s="15"/>
      <c r="E8" s="15">
        <f>E7*1000</f>
        <v>0.23099999999999998</v>
      </c>
      <c r="F8" s="1" t="s">
        <v>45</v>
      </c>
      <c r="J8" s="1" t="s">
        <v>0</v>
      </c>
      <c r="K8">
        <f>K7</f>
        <v>0</v>
      </c>
      <c r="L8" t="s">
        <v>60</v>
      </c>
    </row>
    <row r="9" spans="1:14" x14ac:dyDescent="0.25">
      <c r="B9" s="2"/>
      <c r="C9" s="2"/>
      <c r="D9" s="2"/>
      <c r="E9" s="2"/>
      <c r="J9" s="1"/>
    </row>
    <row r="10" spans="1:14" x14ac:dyDescent="0.25">
      <c r="B10" s="2"/>
      <c r="C10" s="2"/>
      <c r="D10" s="2"/>
      <c r="E10" s="2"/>
      <c r="J10" s="1"/>
    </row>
    <row r="11" spans="1:14" x14ac:dyDescent="0.25">
      <c r="B11" s="2"/>
      <c r="D11" s="2"/>
      <c r="E11" s="2"/>
    </row>
    <row r="12" spans="1:14" x14ac:dyDescent="0.25">
      <c r="B12" s="2"/>
      <c r="D12" s="2"/>
      <c r="E12" s="2"/>
    </row>
    <row r="13" spans="1:14" x14ac:dyDescent="0.25">
      <c r="B13" s="2"/>
      <c r="D13" s="2"/>
      <c r="E13" s="2"/>
    </row>
    <row r="14" spans="1:14" x14ac:dyDescent="0.25">
      <c r="D14" s="2"/>
      <c r="E14" s="2"/>
    </row>
    <row r="15" spans="1:14" x14ac:dyDescent="0.25">
      <c r="D15" s="2"/>
      <c r="E15" s="2"/>
    </row>
    <row r="16" spans="1:14" x14ac:dyDescent="0.25">
      <c r="D16" s="2"/>
      <c r="E16" s="2"/>
    </row>
    <row r="17" spans="4:5" x14ac:dyDescent="0.25">
      <c r="D17" s="2"/>
      <c r="E17" s="2"/>
    </row>
    <row r="18" spans="4:5" x14ac:dyDescent="0.25">
      <c r="E18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TOTAL_V</vt:lpstr>
      <vt:lpstr>PCB0.Alim_Prog_USB</vt:lpstr>
      <vt:lpstr>PCB1.FPGA</vt:lpstr>
      <vt:lpstr>PCB2.Sensores</vt:lpstr>
      <vt:lpstr>PCB3.Antena en PCB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Invitado(pass user)</dc:creator>
  <cp:lastModifiedBy>Invitado(pass user)</cp:lastModifiedBy>
  <dcterms:created xsi:type="dcterms:W3CDTF">2025-10-10T08:06:52Z</dcterms:created>
  <dcterms:modified xsi:type="dcterms:W3CDTF">2025-10-28T09:27:54Z</dcterms:modified>
</cp:coreProperties>
</file>