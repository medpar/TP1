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92074c9dfb58844c/Documentos/UNIVERSIDAD/MASTER/1/TPI/SE/TP1-G1/Hardware/Analisis Eléctrico y Térmico/"/>
    </mc:Choice>
  </mc:AlternateContent>
  <xr:revisionPtr revIDLastSave="2" documentId="11_BF010325F10992A21E5D2AAF911A502F96B28E63" xr6:coauthVersionLast="47" xr6:coauthVersionMax="47" xr10:uidLastSave="{B1438F95-4E96-4A5B-83B8-A584B48BD07F}"/>
  <bookViews>
    <workbookView xWindow="-120" yWindow="-120" windowWidth="20730" windowHeight="11760" xr2:uid="{00000000-000D-0000-FFFF-FFFF00000000}"/>
  </bookViews>
  <sheets>
    <sheet name="PCB0.Alim_Prog_USB" sheetId="1" r:id="rId1"/>
    <sheet name="PCB1.FPGA" sheetId="2" r:id="rId2"/>
    <sheet name="PCB2.Sensores" sheetId="3" r:id="rId3"/>
    <sheet name="PCB3.Antena en PCB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E4" i="4" s="1"/>
  <c r="E7" i="4" s="1"/>
  <c r="E12" i="2"/>
  <c r="E11" i="2"/>
  <c r="E10" i="2"/>
  <c r="E9" i="2"/>
  <c r="E8" i="2"/>
  <c r="E7" i="2"/>
  <c r="E6" i="2"/>
  <c r="E5" i="2"/>
  <c r="E4" i="2"/>
</calcChain>
</file>

<file path=xl/sharedStrings.xml><?xml version="1.0" encoding="utf-8"?>
<sst xmlns="http://schemas.openxmlformats.org/spreadsheetml/2006/main" count="102" uniqueCount="53">
  <si>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</si>
  <si>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</si>
  <si>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</si>
  <si>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</si>
  <si>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</si>
  <si>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</si>
  <si>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</si>
  <si>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</si>
  <si>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</si>
  <si>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</si>
  <si>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</si>
  <si>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</si>
  <si>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</si>
  <si>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</si>
  <si>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</si>
  <si>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</si>
  <si>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LIPO BAT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</si>
  <si>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</si>
  <si>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</si>
  <si>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</si>
  <si>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t>5.0</t>
  </si>
  <si>
    <t>3.3</t>
  </si>
  <si>
    <t>Does not include current through the pull-up resistor on USBDP In USB suspend mode, the D+ voltage can go up to a maximum of 3.8 V.</t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</si>
  <si>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</si>
  <si>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</si>
  <si>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t xml:space="preserve">100 000 </t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</si>
  <si>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</si>
  <si>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</si>
  <si>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</si>
  <si>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</si>
  <si>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</si>
  <si>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</si>
  <si>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</si>
  <si>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LQH5BPN4R7NT0L </t>
  </si>
  <si>
    <t>Currents (mA)</t>
  </si>
  <si>
    <t xml:space="preserve">Per supply pin </t>
  </si>
  <si>
    <t>0.55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</si>
  <si>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</si>
  <si>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</si>
  <si>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t>39.6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</si>
  <si>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</si>
  <si>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</si>
  <si>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</si>
  <si>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</si>
  <si>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</si>
  <si>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IL = 0 mA, VIN =  VIN ≥ 2.3V and 
VIN ≥ VOUT(MAX) + VDROPOUT(MAX), VOUT = 0.8V to 5.0V</t>
  </si>
  <si>
    <t>M20-6102045 </t>
  </si>
  <si>
    <t>CON-SIL2</t>
  </si>
  <si>
    <t>MCSJK-3N-16.00-3.3-50-B </t>
  </si>
  <si>
    <t>HSMS-C170</t>
  </si>
  <si>
    <t>L77HDE15SD1CH4F</t>
  </si>
  <si>
    <t>Quiescent current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</si>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</sst>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zoomScale="57" workbookViewId="0">
      <selection activeCell="D3" sqref="D3"/>
    </sheetView>
  </sheetViews>
  <sheetFormatPr baseColWidth="10" defaultRowHeight="15" x14ac:dyDescent="0.25"/>
  <cols>
    <col min="1" max="1" width="22.5703125" customWidth="1"/>
    <col min="2" max="2" width="28" customWidth="1"/>
    <col min="3" max="3" width="20.140625" customWidth="1"/>
    <col min="4" max="4" width="16.28515625" customWidth="1"/>
    <col min="5" max="5" width="14.5703125" customWidth="1"/>
    <col min="7" max="7" width="21.5703125" customWidth="1"/>
    <col min="8" max="8" width="20.140625" customWidth="1"/>
    <col min="9" max="9" width="15.140625" customWidth="1"/>
    <col min="10" max="10" width="13.85546875" customWidth="1"/>
    <col min="11" max="11" width="14.85546875" customWidth="1"/>
    <col min="12" max="12" width="14.7109375" customWidth="1"/>
    <col min="13" max="13" width="18.42578125" customWidth="1"/>
    <col min="14" max="14" width="18.1406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12</v>
      </c>
      <c r="B4" t="s">
        <v>18</v>
      </c>
      <c r="C4" s="3">
        <v>5</v>
      </c>
      <c r="D4">
        <v>1500</v>
      </c>
      <c r="E4">
        <v>7500</v>
      </c>
      <c r="G4" s="4"/>
    </row>
    <row r="5" spans="1:14" x14ac:dyDescent="0.25">
      <c r="D5" s="1" t="s">
        <v>0</v>
      </c>
    </row>
    <row r="6" spans="1:14" ht="31.5" customHeight="1" x14ac:dyDescent="0.25">
      <c r="A6" s="6" t="s">
        <v>13</v>
      </c>
      <c r="B6" s="7" t="s">
        <v>19</v>
      </c>
      <c r="C6" s="2">
        <v>5</v>
      </c>
      <c r="D6">
        <v>220</v>
      </c>
      <c r="E6">
        <v>1100</v>
      </c>
    </row>
    <row r="7" spans="1:14" x14ac:dyDescent="0.25">
      <c r="D7" s="1" t="s">
        <v>0</v>
      </c>
    </row>
    <row r="8" spans="1:14" ht="65.25" customHeight="1" x14ac:dyDescent="0.25">
      <c r="A8" s="10" t="s">
        <v>14</v>
      </c>
      <c r="B8" s="11" t="s">
        <v>24</v>
      </c>
      <c r="C8" s="2" t="s">
        <v>20</v>
      </c>
      <c r="D8">
        <v>18</v>
      </c>
      <c r="E8">
        <v>90</v>
      </c>
    </row>
    <row r="9" spans="1:14" s="8" customFormat="1" ht="75" customHeight="1" x14ac:dyDescent="0.25">
      <c r="A9" s="9"/>
      <c r="B9" s="11" t="s">
        <v>22</v>
      </c>
      <c r="C9" s="2" t="s">
        <v>21</v>
      </c>
      <c r="D9"/>
    </row>
    <row r="10" spans="1:14" ht="45.75" customHeight="1" x14ac:dyDescent="0.25">
      <c r="D10" s="1" t="s">
        <v>0</v>
      </c>
    </row>
    <row r="11" spans="1:14" x14ac:dyDescent="0.25">
      <c r="A11" t="s">
        <v>15</v>
      </c>
      <c r="B11" t="s">
        <v>35</v>
      </c>
      <c r="C11" s="2" t="s">
        <v>21</v>
      </c>
      <c r="D11" s="2" t="s">
        <v>25</v>
      </c>
      <c r="E11">
        <v>330000</v>
      </c>
    </row>
    <row r="14" spans="1:14" x14ac:dyDescent="0.25">
      <c r="D14" s="1" t="s">
        <v>0</v>
      </c>
    </row>
    <row r="15" spans="1:14" x14ac:dyDescent="0.25">
      <c r="A15" t="s">
        <v>16</v>
      </c>
    </row>
    <row r="17" spans="4:7" x14ac:dyDescent="0.25">
      <c r="D17" s="1" t="s">
        <v>0</v>
      </c>
    </row>
    <row r="18" spans="4:7" x14ac:dyDescent="0.25">
      <c r="G18" t="s">
        <v>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"/>
  <sheetViews>
    <sheetView zoomScale="76" workbookViewId="0">
      <selection activeCell="F7" sqref="F7"/>
    </sheetView>
  </sheetViews>
  <sheetFormatPr baseColWidth="10" defaultRowHeight="15" x14ac:dyDescent="0.25"/>
  <cols>
    <col min="1" max="1" width="13.140625" customWidth="1"/>
    <col min="2" max="2" width="14.85546875" customWidth="1"/>
    <col min="9" max="9" width="17.2851562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  <c r="O3" s="1"/>
    </row>
    <row r="4" spans="1:15" x14ac:dyDescent="0.25">
      <c r="A4" t="s">
        <v>41</v>
      </c>
      <c r="C4">
        <v>0</v>
      </c>
      <c r="D4">
        <v>0</v>
      </c>
      <c r="E4">
        <f t="shared" ref="E4:E12" si="0">C4*D4</f>
        <v>0</v>
      </c>
    </row>
    <row r="5" spans="1:15" x14ac:dyDescent="0.25">
      <c r="A5" s="12" t="s">
        <v>42</v>
      </c>
      <c r="C5">
        <v>3.3</v>
      </c>
      <c r="D5">
        <v>0</v>
      </c>
      <c r="E5">
        <f t="shared" si="0"/>
        <v>0</v>
      </c>
    </row>
    <row r="6" spans="1:15" x14ac:dyDescent="0.25">
      <c r="A6" s="12" t="s">
        <v>43</v>
      </c>
      <c r="E6">
        <f t="shared" si="0"/>
        <v>0</v>
      </c>
    </row>
    <row r="7" spans="1:15" ht="105" x14ac:dyDescent="0.25">
      <c r="A7" s="12" t="s">
        <v>44</v>
      </c>
      <c r="B7" s="8" t="s">
        <v>45</v>
      </c>
      <c r="E7">
        <f t="shared" si="0"/>
        <v>0</v>
      </c>
    </row>
    <row r="8" spans="1:15" x14ac:dyDescent="0.25">
      <c r="A8" s="14" t="s">
        <v>46</v>
      </c>
      <c r="C8">
        <v>0</v>
      </c>
      <c r="D8">
        <v>0</v>
      </c>
      <c r="E8">
        <f t="shared" si="0"/>
        <v>0</v>
      </c>
    </row>
    <row r="9" spans="1:15" x14ac:dyDescent="0.25">
      <c r="A9" s="14" t="s">
        <v>47</v>
      </c>
      <c r="C9">
        <v>0</v>
      </c>
      <c r="D9">
        <v>0</v>
      </c>
      <c r="E9">
        <f t="shared" si="0"/>
        <v>0</v>
      </c>
    </row>
    <row r="10" spans="1:15" x14ac:dyDescent="0.25">
      <c r="A10" s="12" t="s">
        <v>48</v>
      </c>
      <c r="E10">
        <f t="shared" si="0"/>
        <v>0</v>
      </c>
    </row>
    <row r="11" spans="1:15" x14ac:dyDescent="0.25">
      <c r="A11" t="s">
        <v>49</v>
      </c>
      <c r="E11">
        <f t="shared" si="0"/>
        <v>0</v>
      </c>
    </row>
    <row r="12" spans="1:15" x14ac:dyDescent="0.25">
      <c r="A12" t="s">
        <v>50</v>
      </c>
      <c r="E12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4"/>
  <sheetViews>
    <sheetView workbookViewId="0">
      <selection activeCell="B13" sqref="B13"/>
    </sheetView>
  </sheetViews>
  <sheetFormatPr baseColWidth="10" defaultRowHeight="15" x14ac:dyDescent="0.25"/>
  <cols>
    <col min="1" max="1" width="18.7109375" customWidth="1"/>
    <col min="2" max="2" width="20.7109375" customWidth="1"/>
    <col min="3" max="3" width="14.42578125" customWidth="1"/>
    <col min="4" max="4" width="15.28515625" customWidth="1"/>
    <col min="5" max="5" width="14" customWidth="1"/>
    <col min="9" max="9" width="15.7109375" customWidth="1"/>
    <col min="10" max="10" width="18.42578125" customWidth="1"/>
    <col min="14" max="14" width="17.8554687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34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s="10" t="s">
        <v>26</v>
      </c>
      <c r="B4" s="10"/>
      <c r="C4" s="2" t="s">
        <v>21</v>
      </c>
      <c r="D4">
        <v>100</v>
      </c>
      <c r="E4">
        <v>330</v>
      </c>
    </row>
    <row r="5" spans="1:14" x14ac:dyDescent="0.25">
      <c r="A5" s="13" t="s">
        <v>27</v>
      </c>
      <c r="B5" s="9"/>
      <c r="C5" s="2" t="s">
        <v>21</v>
      </c>
      <c r="D5">
        <v>12</v>
      </c>
      <c r="E5" s="2" t="s">
        <v>39</v>
      </c>
    </row>
    <row r="6" spans="1:14" x14ac:dyDescent="0.25">
      <c r="A6" t="s">
        <v>28</v>
      </c>
      <c r="B6" t="s">
        <v>40</v>
      </c>
      <c r="C6" s="2" t="s">
        <v>21</v>
      </c>
      <c r="D6">
        <v>240</v>
      </c>
    </row>
    <row r="7" spans="1:14" x14ac:dyDescent="0.25">
      <c r="A7" t="s">
        <v>29</v>
      </c>
      <c r="C7" s="2"/>
    </row>
    <row r="8" spans="1:14" x14ac:dyDescent="0.25">
      <c r="A8" t="s">
        <v>30</v>
      </c>
      <c r="C8" s="2">
        <v>5</v>
      </c>
    </row>
    <row r="9" spans="1:14" ht="60" x14ac:dyDescent="0.25">
      <c r="A9" s="13" t="s">
        <v>31</v>
      </c>
      <c r="B9" s="8" t="s">
        <v>37</v>
      </c>
      <c r="C9" s="2"/>
      <c r="D9" s="2" t="s">
        <v>36</v>
      </c>
    </row>
    <row r="10" spans="1:14" x14ac:dyDescent="0.25">
      <c r="A10" t="s">
        <v>32</v>
      </c>
      <c r="C10" s="2" t="s">
        <v>21</v>
      </c>
    </row>
    <row r="11" spans="1:14" x14ac:dyDescent="0.25">
      <c r="A11" s="13" t="s">
        <v>33</v>
      </c>
      <c r="B11" s="13"/>
      <c r="C11" s="2"/>
    </row>
    <row r="12" spans="1:14" x14ac:dyDescent="0.25">
      <c r="C12" s="2"/>
    </row>
    <row r="14" spans="1:14" x14ac:dyDescent="0.25">
      <c r="A14" s="1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8"/>
  <sheetViews>
    <sheetView workbookViewId="0">
      <selection activeCell="C13" sqref="C13"/>
    </sheetView>
  </sheetViews>
  <sheetFormatPr baseColWidth="10" defaultRowHeight="15" x14ac:dyDescent="0.25"/>
  <cols>
    <col min="1" max="1" width="16.42578125" customWidth="1"/>
    <col min="2" max="2" width="21.7109375" customWidth="1"/>
    <col min="3" max="3" width="18.28515625" customWidth="1"/>
    <col min="4" max="5" width="15.5703125" customWidth="1"/>
    <col min="9" max="9" width="15.85546875" customWidth="1"/>
    <col min="10" max="10" width="16.5703125" customWidth="1"/>
    <col min="12" max="12" width="14.7109375" customWidth="1"/>
    <col min="14" max="14" width="17.57031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s="15" t="s">
        <v>38</v>
      </c>
      <c r="B4" t="s">
        <v>51</v>
      </c>
      <c r="C4">
        <v>3.3</v>
      </c>
      <c r="D4">
        <f>70*10^(-6)</f>
        <v>6.9999999999999994E-5</v>
      </c>
      <c r="E4">
        <f>C4*D4</f>
        <v>2.3099999999999998E-4</v>
      </c>
    </row>
    <row r="7" spans="1:14" x14ac:dyDescent="0.25">
      <c r="D7" s="1" t="s">
        <v>0</v>
      </c>
      <c r="E7">
        <f>SUM(E4:E5)</f>
        <v>2.3099999999999998E-4</v>
      </c>
      <c r="F7" t="s">
        <v>52</v>
      </c>
    </row>
    <row r="8" spans="1:14" x14ac:dyDescent="0.25">
      <c r="B8" s="2"/>
      <c r="C8" s="2"/>
      <c r="D8" s="2"/>
      <c r="E8" s="2"/>
    </row>
    <row r="9" spans="1:14" x14ac:dyDescent="0.25">
      <c r="B9" s="2"/>
      <c r="C9" s="2"/>
      <c r="D9" s="2"/>
      <c r="E9" s="2"/>
    </row>
    <row r="10" spans="1:14" x14ac:dyDescent="0.25">
      <c r="B10" s="2"/>
      <c r="C10" s="2"/>
      <c r="D10" s="2"/>
      <c r="E10" s="2"/>
    </row>
    <row r="11" spans="1:14" x14ac:dyDescent="0.25">
      <c r="B11" s="2"/>
      <c r="D11" s="2"/>
      <c r="E11" s="2"/>
    </row>
    <row r="12" spans="1:14" x14ac:dyDescent="0.25">
      <c r="B12" s="2"/>
      <c r="D12" s="2"/>
      <c r="E12" s="2"/>
    </row>
    <row r="13" spans="1:14" x14ac:dyDescent="0.25">
      <c r="B13" s="2"/>
      <c r="D13" s="2"/>
      <c r="E13" s="2"/>
    </row>
    <row r="14" spans="1:14" x14ac:dyDescent="0.25">
      <c r="D14" s="2"/>
      <c r="E14" s="2"/>
    </row>
    <row r="15" spans="1:14" x14ac:dyDescent="0.25">
      <c r="D15" s="2"/>
      <c r="E15" s="2"/>
    </row>
    <row r="16" spans="1:14" x14ac:dyDescent="0.25">
      <c r="D16" s="2"/>
      <c r="E16" s="2"/>
    </row>
    <row r="17" spans="4:5" x14ac:dyDescent="0.25">
      <c r="D17" s="2"/>
      <c r="E17" s="2"/>
    </row>
    <row r="18" spans="4:5" x14ac:dyDescent="0.25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VICTOR SANCHEZ VALENCIA</cp:lastModifiedBy>
  <dcterms:created xsi:type="dcterms:W3CDTF">2025-10-10T08:06:52Z</dcterms:created>
  <dcterms:modified xsi:type="dcterms:W3CDTF">2025-10-17T16:38:31Z</dcterms:modified>
</cp:coreProperties>
</file>