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vitado(pass user)\Downloads\"/>
    </mc:Choice>
  </mc:AlternateContent>
  <bookViews>
    <workbookView xWindow="0" yWindow="0" windowWidth="28800" windowHeight="12435" activeTab="2"/>
  </bookViews>
  <sheets>
    <sheet name="PCB0.Alim_Prog_USB" sheetId="1" r:id="rId1"/>
    <sheet name="PCB1.FPGA" sheetId="2" r:id="rId2"/>
    <sheet name="PCB2.Sensores" sheetId="3" r:id="rId3"/>
    <sheet name="PCB3.Antena en PCB" sheetId="4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3" l="1"/>
  <c r="D18" i="1"/>
  <c r="D16" i="1" l="1"/>
  <c r="E8" i="1"/>
  <c r="E5" i="1"/>
  <c r="E6" i="1"/>
  <c r="E7" i="1"/>
  <c r="D15" i="1" s="1"/>
  <c r="E4" i="1"/>
  <c r="D14" i="1" s="1"/>
  <c r="E4" i="3"/>
  <c r="E5" i="3"/>
  <c r="E6" i="3"/>
  <c r="E7" i="3"/>
  <c r="E8" i="3"/>
  <c r="D14" i="3" s="1"/>
  <c r="E9" i="3"/>
  <c r="E10" i="3"/>
  <c r="C21" i="2"/>
  <c r="E15" i="2"/>
  <c r="E16" i="2"/>
  <c r="D15" i="2"/>
  <c r="D4" i="2"/>
  <c r="D5" i="2"/>
  <c r="D6" i="2"/>
  <c r="D7" i="2"/>
  <c r="D8" i="2"/>
  <c r="D14" i="2"/>
  <c r="D11" i="2"/>
  <c r="E11" i="2" s="1"/>
  <c r="D10" i="2"/>
  <c r="C20" i="2"/>
  <c r="E4" i="2"/>
  <c r="E5" i="2"/>
  <c r="E6" i="2"/>
  <c r="E7" i="2"/>
  <c r="E8" i="2"/>
  <c r="E9" i="2"/>
  <c r="E10" i="2"/>
  <c r="D4" i="4"/>
  <c r="E4" i="4" s="1"/>
  <c r="E7" i="4" s="1"/>
  <c r="E8" i="4" s="1"/>
  <c r="E14" i="2"/>
  <c r="E13" i="2"/>
  <c r="E12" i="2"/>
  <c r="D13" i="3" l="1"/>
  <c r="D17" i="3" s="1"/>
  <c r="D18" i="3" s="1"/>
  <c r="E6" i="4"/>
  <c r="D19" i="1"/>
  <c r="C19" i="2"/>
  <c r="C23" i="2" s="1"/>
  <c r="C24" i="2" s="1"/>
</calcChain>
</file>

<file path=xl/sharedStrings.xml><?xml version="1.0" encoding="utf-8"?>
<sst xmlns="http://schemas.openxmlformats.org/spreadsheetml/2006/main" count="130" uniqueCount="58">
  <si>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</si>
  <si>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</si>
  <si>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</si>
  <si>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</si>
  <si>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</si>
  <si>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</si>
  <si>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</si>
  <si>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</si>
  <si>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</si>
  <si>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</si>
  <si>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</si>
  <si>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</si>
  <si>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</si>
  <si>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</si>
  <si>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</si>
  <si>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</si>
  <si>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LIPO BAT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</si>
  <si>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</si>
  <si>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</si>
  <si>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</si>
  <si>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t>Does not include current through the pull-up resistor on USBDP In USB suspend mode, the D+ voltage can go up to a maximum of 3.8 V.</t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</si>
  <si>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</si>
  <si>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</si>
  <si>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</si>
  <si>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</si>
  <si>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</si>
  <si>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</si>
  <si>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</si>
  <si>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</si>
  <si>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</si>
  <si>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</si>
  <si>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</si>
  <si>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</si>
  <si>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</si>
  <si>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</si>
  <si>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</si>
  <si>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</si>
  <si>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</si>
  <si>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</si>
  <si>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CON-SIL2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</si>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</sst>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"/>
  <sheetViews>
    <sheetView zoomScale="73" zoomScaleNormal="85" workbookViewId="0">
      <selection activeCell="F29" sqref="F29"/>
    </sheetView>
  </sheetViews>
  <sheetFormatPr baseColWidth="10" defaultRowHeight="15" x14ac:dyDescent="0.25"/>
  <cols>
    <col min="1" max="1" width="22.5703125" customWidth="1"/>
    <col min="2" max="2" width="27" customWidth="1"/>
    <col min="3" max="3" width="12.85546875" customWidth="1"/>
    <col min="4" max="4" width="13.28515625" customWidth="1"/>
    <col min="5" max="5" width="11.5703125" customWidth="1"/>
    <col min="7" max="7" width="21.5703125" customWidth="1"/>
    <col min="8" max="8" width="20.140625" customWidth="1"/>
    <col min="9" max="9" width="15.140625" customWidth="1"/>
    <col min="10" max="10" width="13.8554687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12</v>
      </c>
      <c r="B4" t="s">
        <v>18</v>
      </c>
      <c r="C4" s="3">
        <v>5</v>
      </c>
      <c r="D4">
        <v>1500</v>
      </c>
      <c r="E4">
        <f>C4*D4*(10^(-6))</f>
        <v>7.4999999999999997E-3</v>
      </c>
      <c r="G4" s="4"/>
    </row>
    <row r="5" spans="1:14" ht="31.5" customHeight="1" x14ac:dyDescent="0.25">
      <c r="A5" s="6" t="s">
        <v>13</v>
      </c>
      <c r="B5" s="7" t="s">
        <v>19</v>
      </c>
      <c r="C5" s="2">
        <v>5</v>
      </c>
      <c r="D5">
        <v>220</v>
      </c>
      <c r="E5">
        <f t="shared" ref="E5:E7" si="0">C5*D5*(10^(-6))</f>
        <v>1.0999999999999998E-3</v>
      </c>
    </row>
    <row r="6" spans="1:14" ht="65.25" customHeight="1" x14ac:dyDescent="0.25">
      <c r="A6" s="10" t="s">
        <v>14</v>
      </c>
      <c r="B6" s="11" t="s">
        <v>55</v>
      </c>
      <c r="C6" s="2">
        <v>5</v>
      </c>
      <c r="D6">
        <v>18</v>
      </c>
      <c r="E6">
        <f t="shared" si="0"/>
        <v>8.9999999999999992E-5</v>
      </c>
    </row>
    <row r="7" spans="1:14" s="8" customFormat="1" ht="84" customHeight="1" x14ac:dyDescent="0.25">
      <c r="A7" s="9"/>
      <c r="B7" s="11" t="s">
        <v>20</v>
      </c>
      <c r="C7" s="2">
        <v>3.3</v>
      </c>
      <c r="D7"/>
      <c r="E7">
        <f t="shared" si="0"/>
        <v>0</v>
      </c>
    </row>
    <row r="8" spans="1:14" ht="15" customHeight="1" x14ac:dyDescent="0.25">
      <c r="A8" t="s">
        <v>15</v>
      </c>
      <c r="B8" t="s">
        <v>30</v>
      </c>
      <c r="C8" s="2">
        <v>3.3</v>
      </c>
      <c r="D8" s="2">
        <v>100000</v>
      </c>
      <c r="E8">
        <f>C8*D8*(10^(-6))</f>
        <v>0.32999999999999996</v>
      </c>
    </row>
    <row r="9" spans="1:14" x14ac:dyDescent="0.25">
      <c r="A9" t="s">
        <v>16</v>
      </c>
      <c r="C9" s="2">
        <v>3.7</v>
      </c>
      <c r="D9">
        <v>5000000</v>
      </c>
      <c r="E9">
        <v>18.5</v>
      </c>
    </row>
    <row r="11" spans="1:14" x14ac:dyDescent="0.25">
      <c r="D11" s="1"/>
    </row>
    <row r="14" spans="1:14" x14ac:dyDescent="0.25">
      <c r="C14" s="1" t="s">
        <v>46</v>
      </c>
      <c r="D14" s="1">
        <f>SUMIFS(E$4:E$13,C$4:C$13,"5")</f>
        <v>8.6899999999999998E-3</v>
      </c>
      <c r="E14" s="1" t="s">
        <v>44</v>
      </c>
    </row>
    <row r="15" spans="1:14" x14ac:dyDescent="0.25">
      <c r="C15" s="1" t="s">
        <v>54</v>
      </c>
      <c r="D15" s="1">
        <f>SUMIFS(E$4:E$13,C$4:C$13,"3,3")</f>
        <v>0.32999999999999996</v>
      </c>
      <c r="E15" s="1" t="s">
        <v>44</v>
      </c>
    </row>
    <row r="16" spans="1:14" x14ac:dyDescent="0.25">
      <c r="C16" s="1" t="s">
        <v>53</v>
      </c>
      <c r="D16" s="1">
        <f>SUMIFS(E$4:E$13,C$4:C$13,"2,6")</f>
        <v>0</v>
      </c>
      <c r="E16" s="1" t="s">
        <v>44</v>
      </c>
      <c r="G16" t="s">
        <v>56</v>
      </c>
    </row>
    <row r="17" spans="1:5" x14ac:dyDescent="0.25">
      <c r="C17" s="1" t="s">
        <v>57</v>
      </c>
      <c r="D17" s="1">
        <v>18.5</v>
      </c>
      <c r="E17" s="1" t="s">
        <v>44</v>
      </c>
    </row>
    <row r="18" spans="1:5" x14ac:dyDescent="0.25">
      <c r="C18" s="1" t="s">
        <v>0</v>
      </c>
      <c r="D18" s="1">
        <f>SUM(D14:D17)</f>
        <v>18.83869</v>
      </c>
      <c r="E18" s="1" t="s">
        <v>44</v>
      </c>
    </row>
    <row r="19" spans="1:5" x14ac:dyDescent="0.25">
      <c r="D19" s="1">
        <f>D18*1000</f>
        <v>18838.689999999999</v>
      </c>
      <c r="E19" s="1" t="s">
        <v>48</v>
      </c>
    </row>
    <row r="21" spans="1:5" x14ac:dyDescent="0.25">
      <c r="A21" t="s">
        <v>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zoomScale="76" workbookViewId="0">
      <selection activeCell="I12" sqref="I12"/>
    </sheetView>
  </sheetViews>
  <sheetFormatPr baseColWidth="10" defaultRowHeight="15" x14ac:dyDescent="0.25"/>
  <cols>
    <col min="1" max="1" width="28.5703125" customWidth="1"/>
    <col min="2" max="2" width="14.85546875" customWidth="1"/>
    <col min="9" max="9" width="17.285156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  <c r="O3" s="1"/>
    </row>
    <row r="4" spans="1:15" x14ac:dyDescent="0.25">
      <c r="A4" t="s">
        <v>34</v>
      </c>
      <c r="B4" t="s">
        <v>49</v>
      </c>
      <c r="C4">
        <v>3.3</v>
      </c>
      <c r="D4">
        <f>21*10^(-6)</f>
        <v>2.0999999999999999E-5</v>
      </c>
      <c r="E4">
        <f>C4*D4</f>
        <v>6.929999999999999E-5</v>
      </c>
    </row>
    <row r="5" spans="1:15" x14ac:dyDescent="0.25">
      <c r="A5" t="s">
        <v>34</v>
      </c>
      <c r="B5" t="s">
        <v>49</v>
      </c>
      <c r="C5">
        <v>3.3</v>
      </c>
      <c r="D5">
        <f>21*10^(-6)</f>
        <v>2.0999999999999999E-5</v>
      </c>
      <c r="E5">
        <f>C5*D5</f>
        <v>6.929999999999999E-5</v>
      </c>
    </row>
    <row r="6" spans="1:15" x14ac:dyDescent="0.25">
      <c r="A6" t="s">
        <v>34</v>
      </c>
      <c r="B6" t="s">
        <v>49</v>
      </c>
      <c r="C6">
        <v>3.3</v>
      </c>
      <c r="D6">
        <f>21*10^(-6)</f>
        <v>2.0999999999999999E-5</v>
      </c>
      <c r="E6">
        <f>C6*D6</f>
        <v>6.929999999999999E-5</v>
      </c>
    </row>
    <row r="7" spans="1:15" x14ac:dyDescent="0.25">
      <c r="A7" t="s">
        <v>34</v>
      </c>
      <c r="B7" t="s">
        <v>49</v>
      </c>
      <c r="C7">
        <v>3.3</v>
      </c>
      <c r="D7">
        <f>21*10^(-6)</f>
        <v>2.0999999999999999E-5</v>
      </c>
      <c r="E7">
        <f>C7*D7</f>
        <v>6.929999999999999E-5</v>
      </c>
    </row>
    <row r="8" spans="1:15" x14ac:dyDescent="0.25">
      <c r="A8" t="s">
        <v>34</v>
      </c>
      <c r="B8" t="s">
        <v>45</v>
      </c>
      <c r="C8">
        <v>1.2</v>
      </c>
      <c r="D8">
        <f>21*10^(-6)</f>
        <v>2.0999999999999999E-5</v>
      </c>
      <c r="E8">
        <f t="shared" ref="E8:E16" si="0">C8*D8</f>
        <v>2.5199999999999999E-5</v>
      </c>
    </row>
    <row r="9" spans="1:15" x14ac:dyDescent="0.25">
      <c r="A9" s="12" t="s">
        <v>35</v>
      </c>
      <c r="C9">
        <v>3.3</v>
      </c>
      <c r="D9">
        <v>0</v>
      </c>
      <c r="E9">
        <f t="shared" si="0"/>
        <v>0</v>
      </c>
    </row>
    <row r="10" spans="1:15" x14ac:dyDescent="0.25">
      <c r="A10" s="12" t="s">
        <v>36</v>
      </c>
      <c r="B10" t="s">
        <v>50</v>
      </c>
      <c r="C10">
        <v>3.3</v>
      </c>
      <c r="D10">
        <f>17*10^(-3)</f>
        <v>1.7000000000000001E-2</v>
      </c>
      <c r="E10">
        <f t="shared" si="0"/>
        <v>5.6100000000000004E-2</v>
      </c>
    </row>
    <row r="11" spans="1:15" ht="60" x14ac:dyDescent="0.25">
      <c r="A11" s="12" t="s">
        <v>37</v>
      </c>
      <c r="B11" s="8" t="s">
        <v>51</v>
      </c>
      <c r="C11">
        <v>3.3</v>
      </c>
      <c r="D11">
        <f>220*10^(-6)</f>
        <v>2.1999999999999998E-4</v>
      </c>
      <c r="E11">
        <f t="shared" si="0"/>
        <v>7.2599999999999987E-4</v>
      </c>
    </row>
    <row r="12" spans="1:15" x14ac:dyDescent="0.25">
      <c r="A12" s="14" t="s">
        <v>38</v>
      </c>
      <c r="C12">
        <v>0</v>
      </c>
      <c r="D12">
        <v>0</v>
      </c>
      <c r="E12">
        <f t="shared" si="0"/>
        <v>0</v>
      </c>
    </row>
    <row r="13" spans="1:15" x14ac:dyDescent="0.25">
      <c r="A13" s="14" t="s">
        <v>39</v>
      </c>
      <c r="C13">
        <v>0</v>
      </c>
      <c r="D13">
        <v>0</v>
      </c>
      <c r="E13">
        <f t="shared" si="0"/>
        <v>0</v>
      </c>
    </row>
    <row r="14" spans="1:15" x14ac:dyDescent="0.25">
      <c r="A14" s="12" t="s">
        <v>40</v>
      </c>
      <c r="B14" t="s">
        <v>52</v>
      </c>
      <c r="C14">
        <v>3.3</v>
      </c>
      <c r="D14">
        <f>15*10^(-3)</f>
        <v>1.4999999999999999E-2</v>
      </c>
      <c r="E14">
        <f t="shared" si="0"/>
        <v>4.9499999999999995E-2</v>
      </c>
    </row>
    <row r="15" spans="1:15" x14ac:dyDescent="0.25">
      <c r="A15" t="s">
        <v>41</v>
      </c>
      <c r="C15">
        <v>2.6</v>
      </c>
      <c r="D15">
        <f>20*10^(-3)</f>
        <v>0.02</v>
      </c>
      <c r="E15">
        <f t="shared" si="0"/>
        <v>5.2000000000000005E-2</v>
      </c>
    </row>
    <row r="16" spans="1:15" x14ac:dyDescent="0.25">
      <c r="A16" s="4" t="s">
        <v>42</v>
      </c>
      <c r="C16">
        <v>0</v>
      </c>
      <c r="D16">
        <v>0</v>
      </c>
      <c r="E16">
        <f t="shared" si="0"/>
        <v>0</v>
      </c>
    </row>
    <row r="19" spans="2:4" x14ac:dyDescent="0.25">
      <c r="B19" s="1" t="s">
        <v>46</v>
      </c>
      <c r="C19" s="1">
        <f>SUMIFS(E$4:E$16,C$4:C$16,"3,3")</f>
        <v>0.1066032</v>
      </c>
      <c r="D19" s="1" t="s">
        <v>44</v>
      </c>
    </row>
    <row r="20" spans="2:4" x14ac:dyDescent="0.25">
      <c r="B20" s="1" t="s">
        <v>47</v>
      </c>
      <c r="C20" s="1">
        <f>SUMIFS(E$4:E$16,C$4:C$16,"1,2")</f>
        <v>2.5199999999999999E-5</v>
      </c>
      <c r="D20" s="1" t="s">
        <v>44</v>
      </c>
    </row>
    <row r="21" spans="2:4" x14ac:dyDescent="0.25">
      <c r="B21" s="1" t="s">
        <v>53</v>
      </c>
      <c r="C21" s="1">
        <f>SUMIFS(E$4:E$16,C$4:C$16,"2,6")</f>
        <v>5.2000000000000005E-2</v>
      </c>
      <c r="D21" s="1" t="s">
        <v>44</v>
      </c>
    </row>
    <row r="23" spans="2:4" x14ac:dyDescent="0.25">
      <c r="B23" s="1" t="s">
        <v>0</v>
      </c>
      <c r="C23" s="1">
        <f>SUM(C19:C21)</f>
        <v>0.1586284</v>
      </c>
      <c r="D23" s="1" t="s">
        <v>44</v>
      </c>
    </row>
    <row r="24" spans="2:4" x14ac:dyDescent="0.25">
      <c r="C24" s="1">
        <f>C23*1000</f>
        <v>158.6284</v>
      </c>
      <c r="D24" s="1" t="s">
        <v>48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tabSelected="1" zoomScale="86" workbookViewId="0">
      <selection activeCell="E44" sqref="E44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15.28515625" customWidth="1"/>
    <col min="5" max="5" width="14" customWidth="1"/>
    <col min="9" max="9" width="15.7109375" customWidth="1"/>
    <col min="10" max="10" width="18.42578125" customWidth="1"/>
    <col min="14" max="14" width="17.8554687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29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s="10" t="s">
        <v>22</v>
      </c>
      <c r="B4" s="10"/>
      <c r="C4" s="2">
        <v>3.3</v>
      </c>
      <c r="D4">
        <v>100</v>
      </c>
      <c r="E4">
        <f>(C4*D4)/1000</f>
        <v>0.33</v>
      </c>
    </row>
    <row r="5" spans="1:14" x14ac:dyDescent="0.25">
      <c r="A5" s="13" t="s">
        <v>23</v>
      </c>
      <c r="B5" s="9"/>
      <c r="C5" s="2">
        <v>3.3</v>
      </c>
      <c r="D5">
        <v>12</v>
      </c>
      <c r="E5">
        <f t="shared" ref="E5:E10" si="0">(C5*D5)/1000</f>
        <v>3.9599999999999996E-2</v>
      </c>
    </row>
    <row r="6" spans="1:14" x14ac:dyDescent="0.25">
      <c r="A6" t="s">
        <v>24</v>
      </c>
      <c r="B6" t="s">
        <v>33</v>
      </c>
      <c r="C6" s="2">
        <v>3.3</v>
      </c>
      <c r="D6">
        <v>240</v>
      </c>
      <c r="E6">
        <f t="shared" si="0"/>
        <v>0.79200000000000004</v>
      </c>
    </row>
    <row r="7" spans="1:14" x14ac:dyDescent="0.25">
      <c r="A7" t="s">
        <v>25</v>
      </c>
      <c r="C7" s="2">
        <v>5</v>
      </c>
      <c r="D7">
        <v>20</v>
      </c>
      <c r="E7">
        <f t="shared" si="0"/>
        <v>0.1</v>
      </c>
    </row>
    <row r="8" spans="1:14" x14ac:dyDescent="0.25">
      <c r="A8" s="4" t="s">
        <v>26</v>
      </c>
      <c r="B8" s="4"/>
      <c r="C8" s="16">
        <v>5</v>
      </c>
      <c r="D8" s="4"/>
      <c r="E8" s="4">
        <f t="shared" si="0"/>
        <v>0</v>
      </c>
      <c r="F8" s="4"/>
    </row>
    <row r="9" spans="1:14" ht="60" x14ac:dyDescent="0.25">
      <c r="A9" s="13" t="s">
        <v>27</v>
      </c>
      <c r="B9" s="8" t="s">
        <v>31</v>
      </c>
      <c r="C9" s="2">
        <v>3.3</v>
      </c>
      <c r="D9" s="2">
        <v>0.55000000000000004</v>
      </c>
      <c r="E9">
        <f t="shared" si="0"/>
        <v>1.815E-3</v>
      </c>
    </row>
    <row r="10" spans="1:14" x14ac:dyDescent="0.25">
      <c r="A10" t="s">
        <v>28</v>
      </c>
      <c r="C10" s="2">
        <v>3.3</v>
      </c>
      <c r="D10">
        <v>800</v>
      </c>
      <c r="E10">
        <f t="shared" si="0"/>
        <v>2.64</v>
      </c>
    </row>
    <row r="11" spans="1:14" x14ac:dyDescent="0.25">
      <c r="A11" s="13"/>
      <c r="B11" s="13"/>
      <c r="C11" s="2"/>
    </row>
    <row r="13" spans="1:14" x14ac:dyDescent="0.25">
      <c r="A13" s="13"/>
      <c r="C13" s="1" t="s">
        <v>46</v>
      </c>
      <c r="D13" s="1">
        <f>SUMIFS(E$4:E$11,C$4:C$11,"3,3")</f>
        <v>3.8034150000000002</v>
      </c>
      <c r="E13" s="1" t="s">
        <v>44</v>
      </c>
    </row>
    <row r="14" spans="1:14" x14ac:dyDescent="0.25">
      <c r="A14" s="13"/>
      <c r="C14" s="1" t="s">
        <v>54</v>
      </c>
      <c r="D14" s="1">
        <f>SUMIFS(E$4:E$11,C$4:C$11,"5,0")</f>
        <v>0.1</v>
      </c>
      <c r="E14" s="1" t="s">
        <v>44</v>
      </c>
    </row>
    <row r="15" spans="1:14" x14ac:dyDescent="0.25">
      <c r="A15" s="13"/>
      <c r="C15" s="1" t="s">
        <v>53</v>
      </c>
      <c r="D15" s="1">
        <f>SUMIFS(E$4:E$11,C$4:C$11,"2,6")</f>
        <v>0</v>
      </c>
      <c r="E15" s="1" t="s">
        <v>44</v>
      </c>
    </row>
    <row r="16" spans="1:14" x14ac:dyDescent="0.25">
      <c r="A16" s="13"/>
    </row>
    <row r="17" spans="3:5" x14ac:dyDescent="0.25">
      <c r="C17" s="1" t="s">
        <v>0</v>
      </c>
      <c r="D17" s="1">
        <f>SUM(D13:D15)</f>
        <v>3.9034150000000003</v>
      </c>
      <c r="E17" s="1" t="s">
        <v>44</v>
      </c>
    </row>
    <row r="18" spans="3:5" x14ac:dyDescent="0.25">
      <c r="D18" s="1">
        <f>D17*1000</f>
        <v>3903.4150000000004</v>
      </c>
      <c r="E18" s="1" t="s">
        <v>48</v>
      </c>
    </row>
    <row r="19" spans="3:5" x14ac:dyDescent="0.25">
      <c r="C19" s="1"/>
      <c r="D19" s="1"/>
      <c r="E19" s="1"/>
    </row>
    <row r="20" spans="3:5" x14ac:dyDescent="0.25">
      <c r="C20" s="1"/>
      <c r="D20" s="1"/>
      <c r="E20" s="1"/>
    </row>
    <row r="21" spans="3:5" x14ac:dyDescent="0.25">
      <c r="C21" s="1"/>
      <c r="D21" s="1"/>
      <c r="E21" s="1"/>
    </row>
    <row r="23" spans="3:5" x14ac:dyDescent="0.25">
      <c r="C23" s="1"/>
      <c r="D23" s="1"/>
      <c r="E23" s="1"/>
    </row>
    <row r="24" spans="3:5" x14ac:dyDescent="0.25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selection activeCell="H15" sqref="H15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32</v>
      </c>
      <c r="B4" t="s">
        <v>43</v>
      </c>
      <c r="C4" s="3">
        <v>3.3</v>
      </c>
      <c r="D4">
        <f>70*10^(-6)</f>
        <v>6.9999999999999994E-5</v>
      </c>
      <c r="E4">
        <f>C4*D4</f>
        <v>2.3099999999999998E-4</v>
      </c>
    </row>
    <row r="6" spans="1:14" x14ac:dyDescent="0.25">
      <c r="D6" s="1" t="s">
        <v>46</v>
      </c>
      <c r="E6" s="1">
        <f>E4</f>
        <v>2.3099999999999998E-4</v>
      </c>
      <c r="F6" s="1" t="s">
        <v>44</v>
      </c>
    </row>
    <row r="7" spans="1:14" x14ac:dyDescent="0.25">
      <c r="D7" s="1" t="s">
        <v>0</v>
      </c>
      <c r="E7" s="1">
        <f>SUM(E4:E5)</f>
        <v>2.3099999999999998E-4</v>
      </c>
      <c r="F7" s="1" t="s">
        <v>44</v>
      </c>
    </row>
    <row r="8" spans="1:14" x14ac:dyDescent="0.25">
      <c r="B8" s="2"/>
      <c r="C8" s="2"/>
      <c r="D8" s="15"/>
      <c r="E8" s="15">
        <f>E7*1000</f>
        <v>0.23099999999999998</v>
      </c>
      <c r="F8" s="1" t="s">
        <v>48</v>
      </c>
    </row>
    <row r="9" spans="1:14" x14ac:dyDescent="0.25">
      <c r="B9" s="2"/>
      <c r="C9" s="2"/>
      <c r="D9" s="2"/>
      <c r="E9" s="2"/>
    </row>
    <row r="10" spans="1:14" x14ac:dyDescent="0.25">
      <c r="B10" s="2"/>
      <c r="C10" s="2"/>
      <c r="D10" s="2"/>
      <c r="E10" s="2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Invitado(pass user)</cp:lastModifiedBy>
  <dcterms:created xsi:type="dcterms:W3CDTF">2025-10-10T08:06:52Z</dcterms:created>
  <dcterms:modified xsi:type="dcterms:W3CDTF">2025-10-21T07:57:27Z</dcterms:modified>
</cp:coreProperties>
</file>